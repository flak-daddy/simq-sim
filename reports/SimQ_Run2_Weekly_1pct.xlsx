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xl/_rels/workbook.xml.rels" ContentType="application/vnd.openxmlformats-package.relationship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tyles.xml" ContentType="application/vnd.openxmlformats-officedocument.spreadsheetml.style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_rels/drawing1.xml.rels" ContentType="application/vnd.openxmlformats-package.relationships+xml"/>
  <Override PartName="/xl/drawings/drawing1.xml" ContentType="application/vnd.openxmlformats-officedocument.drawing+xml"/>
  <Override PartName="/xl/drawings/vmlDrawing1.vml" ContentType="application/vnd.openxmlformats-officedocument.vmlDrawing"/>
  <Override PartName="/xl/charts/chart1.xml" ContentType="application/vnd.openxmlformats-officedocument.drawingml.chart+xml"/>
  <Override PartName="/_rels/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ummary" sheetId="1" state="visible" r:id="rId3"/>
    <sheet name="Trades" sheetId="2" state="visible" r:id="rId4"/>
    <sheet name="Weekly" sheetId="3" state="visible" r:id="rId5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comments1.xml><?xml version="1.0" encoding="utf-8"?>
<comments xmlns="http://schemas.openxmlformats.org/spreadsheetml/2006/main" xmlns:xdr="http://schemas.openxmlformats.org/drawingml/2006/spreadsheetDrawing">
  <authors>
    <author>Unknown Author</author>
  </authors>
  <commentList>
    <comment ref="B45" authorId="0">
      <text>
        <r>
          <rPr>
            <sz val="10"/>
            <rFont val="Arial"/>
            <family val="2"/>
          </rPr>
          <t xml:space="preserve">Run 1 SimQ closed Week 26 at $27.53 (run-001-summary.txt).</t>
        </r>
      </text>
    </comment>
  </commentList>
</comments>
</file>

<file path=xl/sharedStrings.xml><?xml version="1.0" encoding="utf-8"?>
<sst xmlns="http://schemas.openxmlformats.org/spreadsheetml/2006/main" count="523" uniqueCount="170">
  <si>
    <t xml:space="preserve">SimQ Run 2: Weekly 1% Summary</t>
  </si>
  <si>
    <t xml:space="preserve">Paper-trading simulation of cash-secured puts and covered calls on SimQ (a synthetic 3x leveraged index). Week-by-week detail is on the Weekly and Trades tabs.</t>
  </si>
  <si>
    <t xml:space="preserve">Chart: account end value each week (blue), the 1% weekly target path (red dashed), buy-and-hold SimQ (grey), and cash-only (green). Data: Weekly tab columns N, S, V, W.</t>
  </si>
  <si>
    <t xml:space="preserve">Assumptions</t>
  </si>
  <si>
    <t xml:space="preserve">Starting cash ($)</t>
  </si>
  <si>
    <t xml:space="preserve">Run rules: identical start for every run</t>
  </si>
  <si>
    <t xml:space="preserve">Interest on idle cash (APY)</t>
  </si>
  <si>
    <t xml:space="preserve">Run rules: simple daily accrual, actual/365</t>
  </si>
  <si>
    <t xml:space="preserve">Weekly return target</t>
  </si>
  <si>
    <t xml:space="preserve">The "weekly 1%" goal being tested (change this to test another target)</t>
  </si>
  <si>
    <t xml:space="preserve">SimQ starting price ($)</t>
  </si>
  <si>
    <t xml:space="preserve">Run rules: SimQ at $63.80 on Week 1 open</t>
  </si>
  <si>
    <t xml:space="preserve">Results</t>
  </si>
  <si>
    <t xml:space="preserve">Start</t>
  </si>
  <si>
    <t xml:space="preserve">Week 26</t>
  </si>
  <si>
    <t xml:space="preserve">Week 52</t>
  </si>
  <si>
    <t xml:space="preserve">Start → Week 26</t>
  </si>
  <si>
    <t xml:space="preserve">Week 26 → Week 52</t>
  </si>
  <si>
    <t xml:space="preserve">Full year</t>
  </si>
  <si>
    <t xml:space="preserve">Account value ($) (period cols = $ change)</t>
  </si>
  <si>
    <t xml:space="preserve">Return since start</t>
  </si>
  <si>
    <t xml:space="preserve">Avg weekly return (compounded)</t>
  </si>
  <si>
    <t xml:space="preserve">1% weekly target value ($)</t>
  </si>
  <si>
    <t xml:space="preserve">Ahead / behind 1% target ($)</t>
  </si>
  <si>
    <t xml:space="preserve">SimQ price (period cols = % change)</t>
  </si>
  <si>
    <t xml:space="preserve">Buy-and-hold SimQ value ($)</t>
  </si>
  <si>
    <t xml:space="preserve">Cash-only value at APY ($)</t>
  </si>
  <si>
    <t xml:space="preserve">Premium collected ($)</t>
  </si>
  <si>
    <t xml:space="preserve">Buy-backs paid ($)</t>
  </si>
  <si>
    <t xml:space="preserve">Options net ($)</t>
  </si>
  <si>
    <t xml:space="preserve">Share P&amp;L ($)</t>
  </si>
  <si>
    <t xml:space="preserve">Interest ($)</t>
  </si>
  <si>
    <t xml:space="preserve">Total P&amp;L ($)</t>
  </si>
  <si>
    <t xml:space="preserve">Trades opened</t>
  </si>
  <si>
    <t xml:space="preserve">Weeks that hit 1% or more</t>
  </si>
  <si>
    <t xml:space="preserve">Up weeks</t>
  </si>
  <si>
    <t xml:space="preserve">Down weeks</t>
  </si>
  <si>
    <t xml:space="preserve">Best week %</t>
  </si>
  <si>
    <t xml:space="preserve">Worst week %</t>
  </si>
  <si>
    <t xml:space="preserve">Puts assigned</t>
  </si>
  <si>
    <t xml:space="preserve">Calls called away</t>
  </si>
  <si>
    <t xml:space="preserve">How to read: Start/Week 26/Week 52 columns are snapshots; the last three columns are what happened during each period. Week 26 is the official cross-run comparison point; Week 52 is the full year.</t>
  </si>
  <si>
    <t xml:space="preserve">Benchmarks: buy-and-hold = $7,500 invested in SimQ at $63.80 and held. Cash-only = $7,500 left in cash at the APY. 1% target = starting cash compounded at the weekly target.</t>
  </si>
  <si>
    <t xml:space="preserve">Source: SimQ Run 2 books (run-002-state.json), simulated paper trading with simulated prices. Not real-market results.</t>
  </si>
  <si>
    <t xml:space="preserve">Run 1 vs Run 2 at Week 26 (same start, same rules, different market)</t>
  </si>
  <si>
    <t xml:space="preserve">Measure</t>
  </si>
  <si>
    <t xml:space="preserve">Run 1 (Week 26)</t>
  </si>
  <si>
    <t xml:space="preserve">Run 2 (Week 26)</t>
  </si>
  <si>
    <t xml:space="preserve">Change</t>
  </si>
  <si>
    <t xml:space="preserve">Account value ($)</t>
  </si>
  <si>
    <t xml:space="preserve">SimQ move over 26 weeks</t>
  </si>
  <si>
    <t xml:space="preserve">Shares still held at Week 26</t>
  </si>
  <si>
    <t xml:space="preserve">100 (marked $27.53, cost $42.50)</t>
  </si>
  <si>
    <t xml:space="preserve">0 (all cash)</t>
  </si>
  <si>
    <t xml:space="preserve">Run 1 figures (blue) are from Run 1's books (run-001-state.json / run-001-summary.txt). Run 1 used older pricing (v1) through Week 12; Run 2 used v2 pricing with put skew from Week 1. Different seeds mean different markets: SimQ fell 57% in Run 1 and rose 44% in Run 2 over the same 26 weeks.</t>
  </si>
  <si>
    <t xml:space="preserve">Run 1 share P&amp;L = -$450 realized on lot 1 plus -$1,497 unrealized on lot 2, still held at Week 26.</t>
  </si>
  <si>
    <t xml:space="preserve">Trade #</t>
  </si>
  <si>
    <t xml:space="preserve">Week</t>
  </si>
  <si>
    <t xml:space="preserve">Opened</t>
  </si>
  <si>
    <t xml:space="preserve">Type</t>
  </si>
  <si>
    <t xml:space="preserve">Strike</t>
  </si>
  <si>
    <t xml:space="preserve">SimQ at sale</t>
  </si>
  <si>
    <t xml:space="preserve">Cushion from spot</t>
  </si>
  <si>
    <t xml:space="preserve">Premium / share</t>
  </si>
  <si>
    <t xml:space="preserve">Premium in ($)</t>
  </si>
  <si>
    <t xml:space="preserve">Collateral or cover</t>
  </si>
  <si>
    <t xml:space="preserve">Premium % of collateral</t>
  </si>
  <si>
    <t xml:space="preserve">Outcome</t>
  </si>
  <si>
    <t xml:space="preserve">Buy-back / share</t>
  </si>
  <si>
    <t xml:space="preserve">Buy-back out ($)</t>
  </si>
  <si>
    <t xml:space="preserve">Net option P&amp;L ($)</t>
  </si>
  <si>
    <t xml:space="preserve">SimQ Friday close</t>
  </si>
  <si>
    <t xml:space="preserve">Share result</t>
  </si>
  <si>
    <t xml:space="preserve">Mon</t>
  </si>
  <si>
    <t xml:space="preserve">Put</t>
  </si>
  <si>
    <t xml:space="preserve">Bought to close</t>
  </si>
  <si>
    <t xml:space="preserve">Wed</t>
  </si>
  <si>
    <t xml:space="preserve">Assigned</t>
  </si>
  <si>
    <t xml:space="preserve">Bought 100 at $41</t>
  </si>
  <si>
    <t xml:space="preserve">Call</t>
  </si>
  <si>
    <t xml:space="preserve">100 shares</t>
  </si>
  <si>
    <t xml:space="preserve">Expired worthless</t>
  </si>
  <si>
    <t xml:space="preserve">Called away</t>
  </si>
  <si>
    <t xml:space="preserve">Sold 100 at $44.5</t>
  </si>
  <si>
    <t xml:space="preserve">Bought 100 at $75</t>
  </si>
  <si>
    <t xml:space="preserve">Sold 100 at $76</t>
  </si>
  <si>
    <t xml:space="preserve">Bought 100 at $71</t>
  </si>
  <si>
    <t xml:space="preserve">Sold 100 at $74</t>
  </si>
  <si>
    <t xml:space="preserve">Bought 100 at $65</t>
  </si>
  <si>
    <t xml:space="preserve">Sold 100 at $69</t>
  </si>
  <si>
    <t xml:space="preserve">Totals</t>
  </si>
  <si>
    <t xml:space="preserve">Blue = recorded trade data (fills, strikes, prices). Black = formulas. Source: SimQ Run 2 trade log (run-002-state.json), simulated paper trading.</t>
  </si>
  <si>
    <t xml:space="preserve">Fills: sold at the bid, bought back at the ask. Cushion = how far the strike sat from SimQ when sold (below spot for puts, above spot for calls).</t>
  </si>
  <si>
    <t xml:space="preserve">Regime (revealed Fri)</t>
  </si>
  <si>
    <t xml:space="preserve">SimQ Mon open</t>
  </si>
  <si>
    <t xml:space="preserve">SimQ Fri close</t>
  </si>
  <si>
    <t xml:space="preserve">SimQ week %</t>
  </si>
  <si>
    <t xml:space="preserve">Actions taken</t>
  </si>
  <si>
    <t xml:space="preserve">Buy-backs out ($)</t>
  </si>
  <si>
    <t xml:space="preserve">Account start ($)</t>
  </si>
  <si>
    <t xml:space="preserve">Account end ($)</t>
  </si>
  <si>
    <t xml:space="preserve">Week P&amp;L ($)</t>
  </si>
  <si>
    <t xml:space="preserve">Week %</t>
  </si>
  <si>
    <t xml:space="preserve">Hit 1%?</t>
  </si>
  <si>
    <t xml:space="preserve">Cumulative return</t>
  </si>
  <si>
    <t xml:space="preserve">1% weekly target path ($)</t>
  </si>
  <si>
    <t xml:space="preserve">Ahead / behind target ($)</t>
  </si>
  <si>
    <t xml:space="preserve">Shares held Fri</t>
  </si>
  <si>
    <t xml:space="preserve">Buy-and-hold value ($)</t>
  </si>
  <si>
    <t xml:space="preserve">Cash-only value ($)</t>
  </si>
  <si>
    <t xml:space="preserve">crash</t>
  </si>
  <si>
    <t xml:space="preserve">Mon: sold P56 @0.53; Wed: bought back P56 @7.09; Wed: sold P41 @0.35; Fri: P41 assigned</t>
  </si>
  <si>
    <t xml:space="preserve">chop</t>
  </si>
  <si>
    <t xml:space="preserve">Mon: sold P25 @0.42; Mon: sold C45 @0.71; Wed: bought back P25 @0.01; Fri: C45 expired worthless</t>
  </si>
  <si>
    <t xml:space="preserve">Mon: pass/hold; Wed: sold C42 @0.23; Fri: C42 expired worthless</t>
  </si>
  <si>
    <t xml:space="preserve">rebound</t>
  </si>
  <si>
    <t xml:space="preserve">Mon: sold C42 @0.22; Mon: sold P29 @0.24; Wed: pass/hold; Fri: C42 expired worthless; Fri: P29 expired worthless</t>
  </si>
  <si>
    <t xml:space="preserve">Mon: sold C43 @0.76; Wed: bought back C43 @2.66; Wed: sold C44.5 @1.59; Fri: C44.5 called away</t>
  </si>
  <si>
    <t xml:space="preserve">selloff</t>
  </si>
  <si>
    <t xml:space="preserve">Mon: sold P40 @0.46; Wed: pass/hold; Fri: P40 expired worthless</t>
  </si>
  <si>
    <t xml:space="preserve">Mon: sold P36 @0.34; Wed: bought back P36 @0.01; Wed: sold P44 @0.29; Fri: P44 expired worthless</t>
  </si>
  <si>
    <t xml:space="preserve">Mon: sold P43 @0.49; Wed: pass/hold; Fri: P43 expired worthless</t>
  </si>
  <si>
    <t xml:space="preserve">Mon: sold P44 @0.87; Mon: sold P32.5 @0.09; Wed: bought back P44 @0.01; Wed: bought back P32.5 @0.01</t>
  </si>
  <si>
    <t xml:space="preserve">Mon: sold P51.5 @0.47; Wed: bought back P51.5 @0.27; Wed: sold P54 @0.49; Fri: P54 expired worthless</t>
  </si>
  <si>
    <t xml:space="preserve">Mon: sold P49 @0.68; Wed: bought back P49 @0.01; Wed: sold P58 @0.21; Fri: P58 expired worthless</t>
  </si>
  <si>
    <t xml:space="preserve">Mon: sold P56 @0.57; Wed: bought back P56 @0.02</t>
  </si>
  <si>
    <t xml:space="preserve">Mon: sold P59 @0.60; Wed: bought back P59 @0.44; Wed: sold P57 @0.19; Fri: P57 expired worthless</t>
  </si>
  <si>
    <t xml:space="preserve">Mon: sold P59.5 @0.61; Wed: bought back P59.5 @0.13; Wed: sold P64 @0.50; Fri: P64 expired worthless</t>
  </si>
  <si>
    <t xml:space="preserve">calm_up</t>
  </si>
  <si>
    <t xml:space="preserve">Mon: sold P62 @0.68; Wed: bought back P62 @0.01; Wed: sold P70 @0.36; Fri: P70 expired worthless</t>
  </si>
  <si>
    <t xml:space="preserve">Mon: pass/hold; Wed: sold P75 @0.16; Fri: P75 assigned</t>
  </si>
  <si>
    <t xml:space="preserve">Mon: sold C76 @0.70; Wed: pass/hold; Fri: C76 expired worthless</t>
  </si>
  <si>
    <t xml:space="preserve">Mon: sold C76 @0.99; Wed: pass/hold; Fri: C76 called away</t>
  </si>
  <si>
    <t xml:space="preserve">Mon: sold P67 @0.65; Wed: bought back P67 @0.21; Wed: sold P72 @0.61; Fri: P72 expired worthless</t>
  </si>
  <si>
    <t xml:space="preserve">Mon: sold P69 @1.02; Wed: pass/hold; Fri: P69 expired worthless</t>
  </si>
  <si>
    <t xml:space="preserve">Mon: sold P56 @0.66; Wed: bought back P56 @0.01; Wed: sold P63 @0.17; Fri: P63 expired worthless</t>
  </si>
  <si>
    <t xml:space="preserve">Mon: sold P65.5 @0.64; Wed: bought back P65.5 @0.18; Wed: sold P70.5 @0.50; Fri: P70.5 expired worthless</t>
  </si>
  <si>
    <t xml:space="preserve">Mon: sold P75 @1.11; Wed: bought back P75 @0.96; Wed: sold P73.5 @0.71; Fri: P73.5 expired worthless</t>
  </si>
  <si>
    <t xml:space="preserve">Mon: sold P64 @0.91; Wed: pass/hold; Fri: P64 expired worthless</t>
  </si>
  <si>
    <t xml:space="preserve">Mon: sold P66 @0.43; Wed: pass/hold; Fri: P66 expired worthless</t>
  </si>
  <si>
    <t xml:space="preserve">Mon: sold P65 @0.72; Wed: bought back P65 @0.09; Wed: sold P70 @0.22; Fri: P70 expired worthless</t>
  </si>
  <si>
    <t xml:space="preserve">Mon: sold P70 @1.00; Wed: pass/hold; Fri: P70 expired worthless</t>
  </si>
  <si>
    <t xml:space="preserve">Mon: sold P72 @0.36; Wed: pass/hold; Fri: P72 expired worthless</t>
  </si>
  <si>
    <t xml:space="preserve">Mon: sold P71 @0.70; Wed: bought back P71 @0.02; Wed: sold P77 @0.17; Fri: P77 expired worthless</t>
  </si>
  <si>
    <t xml:space="preserve">Mon: sold P69 @0.46; Wed: bought back P69 @0.01; Wed: sold P74 @0.10; Fri: P74 expired worthless</t>
  </si>
  <si>
    <t xml:space="preserve">Mon: sold P73 @0.72; Wed: bought back P73 @1.42; Wed: sold P71 @0.83; Fri: P71 assigned</t>
  </si>
  <si>
    <t xml:space="preserve">Mon: sold C75 @1.74; Wed: bought back C75 @0.83; Wed: sold C73 @1.31; Fri: C73 expired worthless</t>
  </si>
  <si>
    <t xml:space="preserve">Mon: sold C70 @1.85; Wed: bought back C70 @4.65; Wed: sold C74 @2.00; Fri: C74 called away</t>
  </si>
  <si>
    <t xml:space="preserve">Mon: sold P65 @0.65; Wed: bought back P65 @0.03; Wed: sold P72 @0.31; Fri: P72 expired worthless</t>
  </si>
  <si>
    <t xml:space="preserve">Mon: sold P67 @0.66; Wed: bought back P67 @1.70; Wed: sold P65 @1.05; Fri: P65 assigned</t>
  </si>
  <si>
    <t xml:space="preserve">Mon: sold C69 @1.83; Wed: pass/hold; Fri: C69 expired worthless</t>
  </si>
  <si>
    <t xml:space="preserve">Mon: sold P37.5 @0.10; Mon: sold C70 @1.98; Wed: bought back P37.5 @0.01; Fri: C70 expired worthless</t>
  </si>
  <si>
    <t xml:space="preserve">Mon: sold C69 @0.96; Wed: pass/hold; Fri: C69 called away</t>
  </si>
  <si>
    <t xml:space="preserve">Mon: sold P61.5 @0.59; Wed: bought back P61.5 @0.17</t>
  </si>
  <si>
    <t xml:space="preserve">Mon: pass/hold; Wed: sold P55 @0.43; Fri: P55 expired worthless</t>
  </si>
  <si>
    <t xml:space="preserve">Mon: sold P57 @0.77; Wed: bought back P57 @1.83; Wed: sold P55 @1.06; Fri: P55 expired worthless</t>
  </si>
  <si>
    <t xml:space="preserve">Mon: sold P50 @0.82; Mon: sold P40 @0.10; Wed: bought back P50 @0.03; Wed: bought back P40 @0.01; Wed: sold P59 @0.20; Fri: P59 expired worthless</t>
  </si>
  <si>
    <t xml:space="preserve">Mon: sold P49 @1.00; Mon: sold P40 @0.30; Wed: bought back P49 @0.02; Wed: bought back P40 @0.01; Wed: sold P57.5 @0.25; Fri: P57.5 expired worthless</t>
  </si>
  <si>
    <t xml:space="preserve">Mon: sold P63 @0.64; Wed: bought back P63 @0.01</t>
  </si>
  <si>
    <t xml:space="preserve">Mon: sold P65 @0.23; Wed: bought back P65 @4.33; Wed: sold P50 @0.16; Fri: P50 expired worthless</t>
  </si>
  <si>
    <t xml:space="preserve">Mon: sold P45 @0.47; Mon: sold P40 @0.16; Wed: bought back P45 @0.01; Wed: bought back P40 @0.01; Wed: sold P51.5 @0.10; Fri: P51.5 expired worthless</t>
  </si>
  <si>
    <t xml:space="preserve">Mon: sold P50 @0.46; Mon: sold P48 @0.30; Wed: bought back P50 @0.01; Wed: bought back P48 @0.01; Wed: sold P57 @0.10; Fri: P57 expired worthless</t>
  </si>
  <si>
    <t xml:space="preserve">Mon: sold P55 @0.17; Mon: sold P56 @0.24; Wed: bought back P55 @0.01; Wed: bought back P56 @0.01; Wed: sold P61.5 @0.11; Fri: P61.5 expired worthless</t>
  </si>
  <si>
    <t xml:space="preserve">Mon: sold P60.5 @0.58; Wed: bought back P60.5 @0.07; Wed: sold P65 @0.56; Fri: P65 expired worthless</t>
  </si>
  <si>
    <t xml:space="preserve">Mon: pass/hold; Wed: sold P62 @1.03; Fri: P62 expired worthless</t>
  </si>
  <si>
    <t xml:space="preserve">Mon: sold P54.5 @0.93; Mon: sold P52 @0.61; Wed: bought back P54.5 @0.05; Wed: bought back P52 @0.03; Wed: sold P66 @0.60; Fri: P66 expired worthless</t>
  </si>
  <si>
    <t xml:space="preserve">Mon: sold P56 @0.95; Mon: sold P57 @1.07; Wed: bought back P56 @0.03; Wed: bought back P57 @0.04; Wed: sold P60 @0.08; Fri: P60 expired worthless</t>
  </si>
  <si>
    <t xml:space="preserve">Blue = recorded data from the run (prices, regime, share P&amp;L, interest, shares held). Black = formulas. Green = link to Summary sheet.</t>
  </si>
  <si>
    <t xml:space="preserve">Share P&amp;L = stock gain/loss that week from assignments, called-away sales and the Friday mark on shares held. Week 26 and Week 52 rows are shaded.</t>
  </si>
  <si>
    <t xml:space="preserve">Source: SimQ Run 2 books (run-002-state.json / run-002-ledger.md), simulated paper trading; regime is hidden during the week and revealed at Friday close.</t>
  </si>
</sst>
</file>

<file path=xl/styles.xml><?xml version="1.0" encoding="utf-8"?>
<styleSheet xmlns="http://schemas.openxmlformats.org/spreadsheetml/2006/main">
  <numFmts count="10">
    <numFmt numFmtId="164" formatCode="General"/>
    <numFmt numFmtId="165" formatCode="\$#,##0;&quot;($&quot;#,##0\);\-"/>
    <numFmt numFmtId="166" formatCode="0.0%;\(0.0%\);\-"/>
    <numFmt numFmtId="167" formatCode="0.00"/>
    <numFmt numFmtId="168" formatCode="\$#,##0.00;&quot;($&quot;#,##0.00\);\-"/>
    <numFmt numFmtId="169" formatCode="0.00%;\(0.00%\);\-"/>
    <numFmt numFmtId="170" formatCode="0"/>
    <numFmt numFmtId="171" formatCode="\$#,##0"/>
    <numFmt numFmtId="172" formatCode="0.0#"/>
    <numFmt numFmtId="173" formatCode="General"/>
  </numFmts>
  <fonts count="15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4"/>
      <name val="Arial"/>
      <family val="0"/>
      <charset val="1"/>
    </font>
    <font>
      <i val="true"/>
      <sz val="9"/>
      <name val="Arial"/>
      <family val="0"/>
      <charset val="1"/>
    </font>
    <font>
      <b val="true"/>
      <sz val="10"/>
      <name val="Arial"/>
      <family val="0"/>
      <charset val="1"/>
    </font>
    <font>
      <sz val="10"/>
      <name val="Arial"/>
      <family val="0"/>
      <charset val="1"/>
    </font>
    <font>
      <sz val="10"/>
      <color rgb="FF0000FF"/>
      <name val="Arial"/>
      <family val="0"/>
      <charset val="1"/>
    </font>
    <font>
      <b val="true"/>
      <sz val="10"/>
      <color rgb="FFFFFFFF"/>
      <name val="Arial"/>
      <family val="0"/>
      <charset val="1"/>
    </font>
    <font>
      <sz val="10"/>
      <color rgb="FF008000"/>
      <name val="Arial"/>
      <family val="0"/>
      <charset val="1"/>
    </font>
    <font>
      <sz val="10"/>
      <name val="Arial"/>
      <family val="2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</fonts>
  <fills count="5">
    <fill>
      <patternFill patternType="none"/>
    </fill>
    <fill>
      <patternFill patternType="gray125"/>
    </fill>
    <fill>
      <patternFill patternType="solid">
        <fgColor rgb="FFFFFF00"/>
        <bgColor rgb="FFFFFF00"/>
      </patternFill>
    </fill>
    <fill>
      <patternFill patternType="solid">
        <fgColor rgb="FF1F3864"/>
        <bgColor rgb="FF333333"/>
      </patternFill>
    </fill>
    <fill>
      <patternFill patternType="solid">
        <fgColor rgb="FFD9E1F2"/>
        <bgColor rgb="FFD9D9D9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thin">
        <color rgb="FFBFBFBF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4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5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8" fillId="2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3" borderId="0" xfId="0" applyFont="true" applyBorder="false" applyAlignment="true" applyProtection="false">
      <alignment horizontal="center" vertical="bottom" textRotation="0" wrapText="true" indent="0" shrinkToFit="false"/>
      <protection locked="true" hidden="false"/>
    </xf>
    <xf numFmtId="164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7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6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1" xfId="0" applyFont="fals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70" fontId="10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9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72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5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6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68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10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7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6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7" fillId="4" borderId="0" xfId="0" applyFont="true" applyBorder="false" applyAlignment="true" applyProtection="false">
      <alignment horizontal="general" vertical="top" textRotation="0" wrapText="true" indent="0" shrinkToFit="false"/>
      <protection locked="true" hidden="false"/>
    </xf>
    <xf numFmtId="173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8" fontId="8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9" fontId="7" fillId="4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colors>
    <indexedColors>
      <rgbColor rgb="FF000000"/>
      <rgbColor rgb="FFFFFFFF"/>
      <rgbColor rgb="FFC0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BFBFBF"/>
      <rgbColor rgb="FF7F7F7F"/>
      <rgbColor rgb="FF9999FF"/>
      <rgbColor rgb="FF993366"/>
      <rgbColor rgb="FFFFFFCC"/>
      <rgbColor rgb="FFD9E1F2"/>
      <rgbColor rgb="FF660066"/>
      <rgbColor rgb="FFFF8080"/>
      <rgbColor rgb="FF0066CC"/>
      <rgbColor rgb="FFD9D9D9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CFFCC"/>
      <rgbColor rgb="FFFFFF99"/>
      <rgbColor rgb="FF99CCFF"/>
      <rgbColor rgb="FFFF99CC"/>
      <rgbColor rgb="FFCC99FF"/>
      <rgbColor rgb="FFFFCC99"/>
      <rgbColor rgb="FF3366FF"/>
      <rgbColor rgb="FF33CCCC"/>
      <rgbColor rgb="FF99CC00"/>
      <rgbColor rgb="FFFFCC00"/>
      <rgbColor rgb="FFFF9900"/>
      <rgbColor rgb="FFFF6600"/>
      <rgbColor rgb="FF666699"/>
      <rgbColor rgb="FF878787"/>
      <rgbColor rgb="FF1F3864"/>
      <rgbColor rgb="FF70AD47"/>
      <rgbColor rgb="FF003300"/>
      <rgbColor rgb="FF333300"/>
      <rgbColor rgb="FF993300"/>
      <rgbColor rgb="FF993366"/>
      <rgbColor rgb="FF333399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worksheet" Target="worksheets/sheet3.xml"/><Relationship Id="rId6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Run 2 account vs the 1% weekly target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lineChart>
        <c:grouping val="standard"/>
        <c:varyColors val="0"/>
        <c:ser>
          <c:idx val="0"/>
          <c:order val="0"/>
          <c:tx>
            <c:strRef>
              <c:f>Weekly!N1</c:f>
              <c:strCache>
                <c:ptCount val="1"/>
                <c:pt idx="0">
                  <c:v>Account end ($)</c:v>
                </c:pt>
              </c:strCache>
            </c:strRef>
          </c:tx>
          <c:spPr>
            <a:solidFill>
              <a:srgbClr val="1f3864"/>
            </a:solidFill>
            <a:ln w="21960">
              <a:solidFill>
                <a:srgbClr val="1f3864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Weekly!$A$2:$A$53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Weekly!$N$2:$N$53</c:f>
              <c:numCache>
                <c:formatCode>\$#,##0.00;"($"#,##0.00\);\-</c:formatCode>
                <c:ptCount val="52"/>
                <c:pt idx="0">
                  <c:v>6627.6</c:v>
                </c:pt>
                <c:pt idx="1">
                  <c:v>6672.82</c:v>
                </c:pt>
                <c:pt idx="2">
                  <c:v>6576.05</c:v>
                </c:pt>
                <c:pt idx="3">
                  <c:v>6973.33</c:v>
                </c:pt>
                <c:pt idx="4">
                  <c:v>7393.6</c:v>
                </c:pt>
                <c:pt idx="5">
                  <c:v>7445.31</c:v>
                </c:pt>
                <c:pt idx="6">
                  <c:v>7513.06</c:v>
                </c:pt>
                <c:pt idx="7">
                  <c:v>7567.86</c:v>
                </c:pt>
                <c:pt idx="8">
                  <c:v>7667.74</c:v>
                </c:pt>
                <c:pt idx="9">
                  <c:v>7742.67</c:v>
                </c:pt>
                <c:pt idx="10">
                  <c:v>7836.67</c:v>
                </c:pt>
                <c:pt idx="11">
                  <c:v>7897.72</c:v>
                </c:pt>
                <c:pt idx="12">
                  <c:v>7938.81</c:v>
                </c:pt>
                <c:pt idx="13">
                  <c:v>8042.96</c:v>
                </c:pt>
                <c:pt idx="14">
                  <c:v>8152.2</c:v>
                </c:pt>
                <c:pt idx="15">
                  <c:v>7798.82</c:v>
                </c:pt>
                <c:pt idx="16">
                  <c:v>7947.39</c:v>
                </c:pt>
                <c:pt idx="17">
                  <c:v>8444.7</c:v>
                </c:pt>
                <c:pt idx="18">
                  <c:v>8556.25</c:v>
                </c:pt>
                <c:pt idx="19">
                  <c:v>8664.89</c:v>
                </c:pt>
                <c:pt idx="20">
                  <c:v>8753.59</c:v>
                </c:pt>
                <c:pt idx="21">
                  <c:v>8856.37</c:v>
                </c:pt>
                <c:pt idx="22">
                  <c:v>8949.24</c:v>
                </c:pt>
                <c:pt idx="23">
                  <c:v>9047.17</c:v>
                </c:pt>
                <c:pt idx="24">
                  <c:v>9097.14</c:v>
                </c:pt>
                <c:pt idx="25">
                  <c:v>9189.18</c:v>
                </c:pt>
                <c:pt idx="26">
                  <c:v>9296.31</c:v>
                </c:pt>
                <c:pt idx="27">
                  <c:v>9339.47</c:v>
                </c:pt>
                <c:pt idx="28">
                  <c:v>9431.69</c:v>
                </c:pt>
                <c:pt idx="29">
                  <c:v>9493.96</c:v>
                </c:pt>
                <c:pt idx="30">
                  <c:v>9390.72</c:v>
                </c:pt>
                <c:pt idx="31">
                  <c:v>9042.73</c:v>
                </c:pt>
                <c:pt idx="32">
                  <c:v>9960.4</c:v>
                </c:pt>
                <c:pt idx="33">
                  <c:v>10061.1</c:v>
                </c:pt>
                <c:pt idx="34">
                  <c:v>10062.42</c:v>
                </c:pt>
                <c:pt idx="35">
                  <c:v>10187.3</c:v>
                </c:pt>
                <c:pt idx="36">
                  <c:v>10428.34</c:v>
                </c:pt>
                <c:pt idx="37">
                  <c:v>10964.97</c:v>
                </c:pt>
                <c:pt idx="38">
                  <c:v>11015.42</c:v>
                </c:pt>
                <c:pt idx="39">
                  <c:v>11066.89</c:v>
                </c:pt>
                <c:pt idx="40">
                  <c:v>11075.4</c:v>
                </c:pt>
                <c:pt idx="41">
                  <c:v>11191.97</c:v>
                </c:pt>
                <c:pt idx="42">
                  <c:v>11352.66</c:v>
                </c:pt>
                <c:pt idx="43">
                  <c:v>11424.42</c:v>
                </c:pt>
                <c:pt idx="44">
                  <c:v>11039.02</c:v>
                </c:pt>
                <c:pt idx="45">
                  <c:v>11118.54</c:v>
                </c:pt>
                <c:pt idx="46">
                  <c:v>11211.13</c:v>
                </c:pt>
                <c:pt idx="47">
                  <c:v>11269.77</c:v>
                </c:pt>
                <c:pt idx="48">
                  <c:v>11385.48</c:v>
                </c:pt>
                <c:pt idx="49">
                  <c:v>11497.26</c:v>
                </c:pt>
                <c:pt idx="50">
                  <c:v>11712.22</c:v>
                </c:pt>
                <c:pt idx="51">
                  <c:v>11924.36</c:v>
                </c:pt>
              </c:numCache>
            </c:numRef>
          </c:val>
          <c:smooth val="0"/>
        </c:ser>
        <c:ser>
          <c:idx val="1"/>
          <c:order val="1"/>
          <c:tx>
            <c:strRef>
              <c:f>Weekly!S1</c:f>
              <c:strCache>
                <c:ptCount val="1"/>
                <c:pt idx="0">
                  <c:v>1% weekly target path ($)</c:v>
                </c:pt>
              </c:strCache>
            </c:strRef>
          </c:tx>
          <c:spPr>
            <a:solidFill>
              <a:srgbClr val="c00000"/>
            </a:solidFill>
            <a:ln w="21960">
              <a:solidFill>
                <a:srgbClr val="c00000"/>
              </a:solidFill>
              <a:prstDash val="dash"/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Weekly!$A$2:$A$53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Weekly!$S$2:$S$53</c:f>
              <c:numCache>
                <c:formatCode>\$#,##0.00;"($"#,##0.00\);\-</c:formatCode>
                <c:ptCount val="52"/>
                <c:pt idx="0">
                  <c:v>7575</c:v>
                </c:pt>
                <c:pt idx="1">
                  <c:v>7650.75</c:v>
                </c:pt>
                <c:pt idx="2">
                  <c:v>7727.2575</c:v>
                </c:pt>
                <c:pt idx="3">
                  <c:v>7804.530075</c:v>
                </c:pt>
                <c:pt idx="4">
                  <c:v>7882.57537575</c:v>
                </c:pt>
                <c:pt idx="5">
                  <c:v>7961.4011295075</c:v>
                </c:pt>
                <c:pt idx="6">
                  <c:v>8041.01514080258</c:v>
                </c:pt>
                <c:pt idx="7">
                  <c:v>8121.4252922106</c:v>
                </c:pt>
                <c:pt idx="8">
                  <c:v>8202.63954513271</c:v>
                </c:pt>
                <c:pt idx="9">
                  <c:v>8284.66594058404</c:v>
                </c:pt>
                <c:pt idx="10">
                  <c:v>8367.51259998987</c:v>
                </c:pt>
                <c:pt idx="11">
                  <c:v>8451.18772598977</c:v>
                </c:pt>
                <c:pt idx="12">
                  <c:v>8535.69960324967</c:v>
                </c:pt>
                <c:pt idx="13">
                  <c:v>8621.05659928217</c:v>
                </c:pt>
                <c:pt idx="14">
                  <c:v>8707.26716527499</c:v>
                </c:pt>
                <c:pt idx="15">
                  <c:v>8794.33983692774</c:v>
                </c:pt>
                <c:pt idx="16">
                  <c:v>8882.28323529702</c:v>
                </c:pt>
                <c:pt idx="17">
                  <c:v>8971.10606764999</c:v>
                </c:pt>
                <c:pt idx="18">
                  <c:v>9060.81712832649</c:v>
                </c:pt>
                <c:pt idx="19">
                  <c:v>9151.42529960975</c:v>
                </c:pt>
                <c:pt idx="20">
                  <c:v>9242.93955260585</c:v>
                </c:pt>
                <c:pt idx="21">
                  <c:v>9335.36894813191</c:v>
                </c:pt>
                <c:pt idx="22">
                  <c:v>9428.72263761323</c:v>
                </c:pt>
                <c:pt idx="23">
                  <c:v>9523.00986398936</c:v>
                </c:pt>
                <c:pt idx="24">
                  <c:v>9618.23996262925</c:v>
                </c:pt>
                <c:pt idx="25">
                  <c:v>9714.42236225555</c:v>
                </c:pt>
                <c:pt idx="26">
                  <c:v>9811.5665858781</c:v>
                </c:pt>
                <c:pt idx="27">
                  <c:v>9909.68225173688</c:v>
                </c:pt>
                <c:pt idx="28">
                  <c:v>10008.7790742543</c:v>
                </c:pt>
                <c:pt idx="29">
                  <c:v>10108.8668649968</c:v>
                </c:pt>
                <c:pt idx="30">
                  <c:v>10209.9555336468</c:v>
                </c:pt>
                <c:pt idx="31">
                  <c:v>10312.0550889832</c:v>
                </c:pt>
                <c:pt idx="32">
                  <c:v>10415.1756398731</c:v>
                </c:pt>
                <c:pt idx="33">
                  <c:v>10519.3273962718</c:v>
                </c:pt>
                <c:pt idx="34">
                  <c:v>10624.5206702345</c:v>
                </c:pt>
                <c:pt idx="35">
                  <c:v>10730.7658769369</c:v>
                </c:pt>
                <c:pt idx="36">
                  <c:v>10838.0735357062</c:v>
                </c:pt>
                <c:pt idx="37">
                  <c:v>10946.4542710633</c:v>
                </c:pt>
                <c:pt idx="38">
                  <c:v>11055.9188137739</c:v>
                </c:pt>
                <c:pt idx="39">
                  <c:v>11166.4780019117</c:v>
                </c:pt>
                <c:pt idx="40">
                  <c:v>11278.1427819308</c:v>
                </c:pt>
                <c:pt idx="41">
                  <c:v>11390.9242097501</c:v>
                </c:pt>
                <c:pt idx="42">
                  <c:v>11504.8334518476</c:v>
                </c:pt>
                <c:pt idx="43">
                  <c:v>11619.8817863661</c:v>
                </c:pt>
                <c:pt idx="44">
                  <c:v>11736.0806042297</c:v>
                </c:pt>
                <c:pt idx="45">
                  <c:v>11853.441410272</c:v>
                </c:pt>
                <c:pt idx="46">
                  <c:v>11971.9758243747</c:v>
                </c:pt>
                <c:pt idx="47">
                  <c:v>12091.6955826185</c:v>
                </c:pt>
                <c:pt idx="48">
                  <c:v>12212.6125384447</c:v>
                </c:pt>
                <c:pt idx="49">
                  <c:v>12334.7386638291</c:v>
                </c:pt>
                <c:pt idx="50">
                  <c:v>12458.0860504674</c:v>
                </c:pt>
                <c:pt idx="51">
                  <c:v>12582.6669109721</c:v>
                </c:pt>
              </c:numCache>
            </c:numRef>
          </c:val>
          <c:smooth val="0"/>
        </c:ser>
        <c:ser>
          <c:idx val="2"/>
          <c:order val="2"/>
          <c:tx>
            <c:strRef>
              <c:f>Weekly!V1</c:f>
              <c:strCache>
                <c:ptCount val="1"/>
                <c:pt idx="0">
                  <c:v>Buy-and-hold value ($)</c:v>
                </c:pt>
              </c:strCache>
            </c:strRef>
          </c:tx>
          <c:spPr>
            <a:solidFill>
              <a:srgbClr val="7f7f7f"/>
            </a:solidFill>
            <a:ln w="21960">
              <a:solidFill>
                <a:srgbClr val="7f7f7f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Weekly!$A$2:$A$53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Weekly!$V$2:$V$53</c:f>
              <c:numCache>
                <c:formatCode>\$#,##0.00;"($"#,##0.00\);\-</c:formatCode>
                <c:ptCount val="52"/>
                <c:pt idx="0">
                  <c:v>4518.80877742947</c:v>
                </c:pt>
                <c:pt idx="1">
                  <c:v>4437.69592476489</c:v>
                </c:pt>
                <c:pt idx="2">
                  <c:v>4294.2789968652</c:v>
                </c:pt>
                <c:pt idx="3">
                  <c:v>4704.54545454546</c:v>
                </c:pt>
                <c:pt idx="4">
                  <c:v>5594.43573667712</c:v>
                </c:pt>
                <c:pt idx="5">
                  <c:v>5428.68338557994</c:v>
                </c:pt>
                <c:pt idx="6">
                  <c:v>6239.81191222571</c:v>
                </c:pt>
                <c:pt idx="7">
                  <c:v>6490.20376175549</c:v>
                </c:pt>
                <c:pt idx="8">
                  <c:v>6922.80564263323</c:v>
                </c:pt>
                <c:pt idx="9">
                  <c:v>7079.15360501568</c:v>
                </c:pt>
                <c:pt idx="10">
                  <c:v>7785.65830721003</c:v>
                </c:pt>
                <c:pt idx="11">
                  <c:v>7887.93103448276</c:v>
                </c:pt>
                <c:pt idx="12">
                  <c:v>7839.73354231975</c:v>
                </c:pt>
                <c:pt idx="13">
                  <c:v>8519.20062695925</c:v>
                </c:pt>
                <c:pt idx="14">
                  <c:v>9190.43887147335</c:v>
                </c:pt>
                <c:pt idx="15">
                  <c:v>8376.9592476489</c:v>
                </c:pt>
                <c:pt idx="16">
                  <c:v>8468.65203761756</c:v>
                </c:pt>
                <c:pt idx="17">
                  <c:v>8982.36677115988</c:v>
                </c:pt>
                <c:pt idx="18">
                  <c:v>9869.90595611285</c:v>
                </c:pt>
                <c:pt idx="19">
                  <c:v>8854.23197492163</c:v>
                </c:pt>
                <c:pt idx="20">
                  <c:v>8743.73040752351</c:v>
                </c:pt>
                <c:pt idx="21">
                  <c:v>10528.2131661442</c:v>
                </c:pt>
                <c:pt idx="22">
                  <c:v>9275.07836990596</c:v>
                </c:pt>
                <c:pt idx="23">
                  <c:v>9081.11285266458</c:v>
                </c:pt>
                <c:pt idx="24">
                  <c:v>9391.45768025078</c:v>
                </c:pt>
                <c:pt idx="25">
                  <c:v>10832.6802507837</c:v>
                </c:pt>
                <c:pt idx="26">
                  <c:v>10119.1222570533</c:v>
                </c:pt>
                <c:pt idx="27">
                  <c:v>9918.10344827586</c:v>
                </c:pt>
                <c:pt idx="28">
                  <c:v>9605.40752351097</c:v>
                </c:pt>
                <c:pt idx="29">
                  <c:v>9540.75235109718</c:v>
                </c:pt>
                <c:pt idx="30">
                  <c:v>8202.97805642633</c:v>
                </c:pt>
                <c:pt idx="31">
                  <c:v>7530.56426332288</c:v>
                </c:pt>
                <c:pt idx="32">
                  <c:v>9152.82131661442</c:v>
                </c:pt>
                <c:pt idx="33">
                  <c:v>8962.38244514107</c:v>
                </c:pt>
                <c:pt idx="34">
                  <c:v>7634.01253918495</c:v>
                </c:pt>
                <c:pt idx="35">
                  <c:v>7562.30407523511</c:v>
                </c:pt>
                <c:pt idx="36">
                  <c:v>7598.7460815047</c:v>
                </c:pt>
                <c:pt idx="37">
                  <c:v>8150.07836990596</c:v>
                </c:pt>
                <c:pt idx="38">
                  <c:v>7729.23197492163</c:v>
                </c:pt>
                <c:pt idx="39">
                  <c:v>7363.63636363636</c:v>
                </c:pt>
                <c:pt idx="40">
                  <c:v>6940.43887147336</c:v>
                </c:pt>
                <c:pt idx="41">
                  <c:v>7907.91536050157</c:v>
                </c:pt>
                <c:pt idx="42">
                  <c:v>8759.01253918495</c:v>
                </c:pt>
                <c:pt idx="43">
                  <c:v>8827.19435736677</c:v>
                </c:pt>
                <c:pt idx="44">
                  <c:v>6713.55799373041</c:v>
                </c:pt>
                <c:pt idx="45">
                  <c:v>7108.54231974922</c:v>
                </c:pt>
                <c:pt idx="46">
                  <c:v>7589.34169278997</c:v>
                </c:pt>
                <c:pt idx="47">
                  <c:v>7958.46394984326</c:v>
                </c:pt>
                <c:pt idx="48">
                  <c:v>7996.08150470219</c:v>
                </c:pt>
                <c:pt idx="49">
                  <c:v>7491.77115987461</c:v>
                </c:pt>
                <c:pt idx="50">
                  <c:v>8563.87147335423</c:v>
                </c:pt>
                <c:pt idx="51">
                  <c:v>7602.27272727273</c:v>
                </c:pt>
              </c:numCache>
            </c:numRef>
          </c:val>
          <c:smooth val="0"/>
        </c:ser>
        <c:ser>
          <c:idx val="3"/>
          <c:order val="3"/>
          <c:tx>
            <c:strRef>
              <c:f>Weekly!W1</c:f>
              <c:strCache>
                <c:ptCount val="1"/>
                <c:pt idx="0">
                  <c:v>Cash-only value ($)</c:v>
                </c:pt>
              </c:strCache>
            </c:strRef>
          </c:tx>
          <c:spPr>
            <a:solidFill>
              <a:srgbClr val="70ad47"/>
            </a:solidFill>
            <a:ln w="21960">
              <a:solidFill>
                <a:srgbClr val="70ad47"/>
              </a:solidFill>
              <a:round/>
            </a:ln>
          </c:spPr>
          <c:marker>
            <c:symbol val="none"/>
          </c:marker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Weekly!$A$2:$A$53</c:f>
              <c:strCache>
                <c:ptCount val="52"/>
                <c:pt idx="0">
                  <c:v>1</c:v>
                </c:pt>
                <c:pt idx="1">
                  <c:v>2</c:v>
                </c:pt>
                <c:pt idx="2">
                  <c:v>3</c:v>
                </c:pt>
                <c:pt idx="3">
                  <c:v>4</c:v>
                </c:pt>
                <c:pt idx="4">
                  <c:v>5</c:v>
                </c:pt>
                <c:pt idx="5">
                  <c:v>6</c:v>
                </c:pt>
                <c:pt idx="6">
                  <c:v>7</c:v>
                </c:pt>
                <c:pt idx="7">
                  <c:v>8</c:v>
                </c:pt>
                <c:pt idx="8">
                  <c:v>9</c:v>
                </c:pt>
                <c:pt idx="9">
                  <c:v>10</c:v>
                </c:pt>
                <c:pt idx="10">
                  <c:v>11</c:v>
                </c:pt>
                <c:pt idx="11">
                  <c:v>12</c:v>
                </c:pt>
                <c:pt idx="12">
                  <c:v>13</c:v>
                </c:pt>
                <c:pt idx="13">
                  <c:v>14</c:v>
                </c:pt>
                <c:pt idx="14">
                  <c:v>15</c:v>
                </c:pt>
                <c:pt idx="15">
                  <c:v>16</c:v>
                </c:pt>
                <c:pt idx="16">
                  <c:v>17</c:v>
                </c:pt>
                <c:pt idx="17">
                  <c:v>18</c:v>
                </c:pt>
                <c:pt idx="18">
                  <c:v>19</c:v>
                </c:pt>
                <c:pt idx="19">
                  <c:v>20</c:v>
                </c:pt>
                <c:pt idx="20">
                  <c:v>21</c:v>
                </c:pt>
                <c:pt idx="21">
                  <c:v>22</c:v>
                </c:pt>
                <c:pt idx="22">
                  <c:v>23</c:v>
                </c:pt>
                <c:pt idx="23">
                  <c:v>24</c:v>
                </c:pt>
                <c:pt idx="24">
                  <c:v>25</c:v>
                </c:pt>
                <c:pt idx="25">
                  <c:v>26</c:v>
                </c:pt>
                <c:pt idx="26">
                  <c:v>27</c:v>
                </c:pt>
                <c:pt idx="27">
                  <c:v>28</c:v>
                </c:pt>
                <c:pt idx="28">
                  <c:v>29</c:v>
                </c:pt>
                <c:pt idx="29">
                  <c:v>30</c:v>
                </c:pt>
                <c:pt idx="30">
                  <c:v>31</c:v>
                </c:pt>
                <c:pt idx="31">
                  <c:v>32</c:v>
                </c:pt>
                <c:pt idx="32">
                  <c:v>33</c:v>
                </c:pt>
                <c:pt idx="33">
                  <c:v>34</c:v>
                </c:pt>
                <c:pt idx="34">
                  <c:v>35</c:v>
                </c:pt>
                <c:pt idx="35">
                  <c:v>36</c:v>
                </c:pt>
                <c:pt idx="36">
                  <c:v>37</c:v>
                </c:pt>
                <c:pt idx="37">
                  <c:v>38</c:v>
                </c:pt>
                <c:pt idx="38">
                  <c:v>39</c:v>
                </c:pt>
                <c:pt idx="39">
                  <c:v>40</c:v>
                </c:pt>
                <c:pt idx="40">
                  <c:v>41</c:v>
                </c:pt>
                <c:pt idx="41">
                  <c:v>42</c:v>
                </c:pt>
                <c:pt idx="42">
                  <c:v>43</c:v>
                </c:pt>
                <c:pt idx="43">
                  <c:v>44</c:v>
                </c:pt>
                <c:pt idx="44">
                  <c:v>45</c:v>
                </c:pt>
                <c:pt idx="45">
                  <c:v>46</c:v>
                </c:pt>
                <c:pt idx="46">
                  <c:v>47</c:v>
                </c:pt>
                <c:pt idx="47">
                  <c:v>48</c:v>
                </c:pt>
                <c:pt idx="48">
                  <c:v>49</c:v>
                </c:pt>
                <c:pt idx="49">
                  <c:v>50</c:v>
                </c:pt>
                <c:pt idx="50">
                  <c:v>51</c:v>
                </c:pt>
                <c:pt idx="51">
                  <c:v>52</c:v>
                </c:pt>
              </c:strCache>
            </c:strRef>
          </c:cat>
          <c:val>
            <c:numRef>
              <c:f>Weekly!$W$2:$W$53</c:f>
              <c:numCache>
                <c:formatCode>\$#,##0.00;"($"#,##0.00\);\-</c:formatCode>
                <c:ptCount val="52"/>
                <c:pt idx="0">
                  <c:v>7505.75342465753</c:v>
                </c:pt>
                <c:pt idx="1">
                  <c:v>7511.50684931507</c:v>
                </c:pt>
                <c:pt idx="2">
                  <c:v>7517.2602739726</c:v>
                </c:pt>
                <c:pt idx="3">
                  <c:v>7523.01369863014</c:v>
                </c:pt>
                <c:pt idx="4">
                  <c:v>7528.76712328767</c:v>
                </c:pt>
                <c:pt idx="5">
                  <c:v>7534.52054794521</c:v>
                </c:pt>
                <c:pt idx="6">
                  <c:v>7540.27397260274</c:v>
                </c:pt>
                <c:pt idx="7">
                  <c:v>7546.02739726027</c:v>
                </c:pt>
                <c:pt idx="8">
                  <c:v>7551.78082191781</c:v>
                </c:pt>
                <c:pt idx="9">
                  <c:v>7557.53424657534</c:v>
                </c:pt>
                <c:pt idx="10">
                  <c:v>7563.28767123288</c:v>
                </c:pt>
                <c:pt idx="11">
                  <c:v>7569.04109589041</c:v>
                </c:pt>
                <c:pt idx="12">
                  <c:v>7574.79452054795</c:v>
                </c:pt>
                <c:pt idx="13">
                  <c:v>7580.54794520548</c:v>
                </c:pt>
                <c:pt idx="14">
                  <c:v>7586.30136986301</c:v>
                </c:pt>
                <c:pt idx="15">
                  <c:v>7592.05479452055</c:v>
                </c:pt>
                <c:pt idx="16">
                  <c:v>7597.80821917808</c:v>
                </c:pt>
                <c:pt idx="17">
                  <c:v>7603.56164383562</c:v>
                </c:pt>
                <c:pt idx="18">
                  <c:v>7609.31506849315</c:v>
                </c:pt>
                <c:pt idx="19">
                  <c:v>7615.06849315069</c:v>
                </c:pt>
                <c:pt idx="20">
                  <c:v>7620.82191780822</c:v>
                </c:pt>
                <c:pt idx="21">
                  <c:v>7626.57534246575</c:v>
                </c:pt>
                <c:pt idx="22">
                  <c:v>7632.32876712329</c:v>
                </c:pt>
                <c:pt idx="23">
                  <c:v>7638.08219178082</c:v>
                </c:pt>
                <c:pt idx="24">
                  <c:v>7643.83561643836</c:v>
                </c:pt>
                <c:pt idx="25">
                  <c:v>7649.58904109589</c:v>
                </c:pt>
                <c:pt idx="26">
                  <c:v>7655.34246575343</c:v>
                </c:pt>
                <c:pt idx="27">
                  <c:v>7661.09589041096</c:v>
                </c:pt>
                <c:pt idx="28">
                  <c:v>7666.84931506849</c:v>
                </c:pt>
                <c:pt idx="29">
                  <c:v>7672.60273972603</c:v>
                </c:pt>
                <c:pt idx="30">
                  <c:v>7678.35616438356</c:v>
                </c:pt>
                <c:pt idx="31">
                  <c:v>7684.1095890411</c:v>
                </c:pt>
                <c:pt idx="32">
                  <c:v>7689.86301369863</c:v>
                </c:pt>
                <c:pt idx="33">
                  <c:v>7695.61643835616</c:v>
                </c:pt>
                <c:pt idx="34">
                  <c:v>7701.3698630137</c:v>
                </c:pt>
                <c:pt idx="35">
                  <c:v>7707.12328767123</c:v>
                </c:pt>
                <c:pt idx="36">
                  <c:v>7712.87671232877</c:v>
                </c:pt>
                <c:pt idx="37">
                  <c:v>7718.6301369863</c:v>
                </c:pt>
                <c:pt idx="38">
                  <c:v>7724.38356164384</c:v>
                </c:pt>
                <c:pt idx="39">
                  <c:v>7730.13698630137</c:v>
                </c:pt>
                <c:pt idx="40">
                  <c:v>7735.8904109589</c:v>
                </c:pt>
                <c:pt idx="41">
                  <c:v>7741.64383561644</c:v>
                </c:pt>
                <c:pt idx="42">
                  <c:v>7747.39726027397</c:v>
                </c:pt>
                <c:pt idx="43">
                  <c:v>7753.15068493151</c:v>
                </c:pt>
                <c:pt idx="44">
                  <c:v>7758.90410958904</c:v>
                </c:pt>
                <c:pt idx="45">
                  <c:v>7764.65753424658</c:v>
                </c:pt>
                <c:pt idx="46">
                  <c:v>7770.41095890411</c:v>
                </c:pt>
                <c:pt idx="47">
                  <c:v>7776.16438356164</c:v>
                </c:pt>
                <c:pt idx="48">
                  <c:v>7781.91780821918</c:v>
                </c:pt>
                <c:pt idx="49">
                  <c:v>7787.67123287671</c:v>
                </c:pt>
                <c:pt idx="50">
                  <c:v>7793.42465753425</c:v>
                </c:pt>
                <c:pt idx="51">
                  <c:v>7799.17808219178</c:v>
                </c:pt>
              </c:numCache>
            </c:numRef>
          </c:val>
          <c:smooth val="0"/>
        </c:ser>
        <c:hiLowLines>
          <c:spPr>
            <a:ln w="0">
              <a:noFill/>
            </a:ln>
          </c:spPr>
        </c:hiLowLines>
        <c:marker val="0"/>
        <c:axId val="85528637"/>
        <c:axId val="83699145"/>
      </c:lineChart>
      <c:catAx>
        <c:axId val="85528637"/>
        <c:scaling>
          <c:orientation val="minMax"/>
        </c:scaling>
        <c:delete val="0"/>
        <c:axPos val="b"/>
        <c:title>
          <c:tx>
            <c:rich>
              <a:bodyPr rot="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Week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3699145"/>
        <c:crosses val="autoZero"/>
        <c:auto val="1"/>
        <c:lblAlgn val="ctr"/>
        <c:lblOffset val="100"/>
        <c:noMultiLvlLbl val="0"/>
      </c:catAx>
      <c:valAx>
        <c:axId val="83699145"/>
        <c:scaling>
          <c:orientation val="minMax"/>
        </c:scaling>
        <c:delete val="0"/>
        <c:axPos val="l"/>
        <c:majorGridlines>
          <c:spPr>
            <a:ln w="9360">
              <a:solidFill>
                <a:srgbClr val="878787"/>
              </a:solidFill>
              <a:round/>
            </a:ln>
          </c:spPr>
        </c:majorGridlines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Value ($)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\$#,##0" sourceLinked="0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5528637"/>
        <c:crosses val="autoZero"/>
        <c:crossBetween val="between"/>
      </c:valAx>
      <c:spPr>
        <a:noFill/>
        <a:ln w="0">
          <a:noFill/>
        </a:ln>
      </c:spPr>
    </c:plotArea>
    <c:legend>
      <c:legendPos val="b"/>
      <c:overlay val="0"/>
      <c:spPr>
        <a:noFill/>
        <a:ln w="0">
          <a:noFill/>
        </a:ln>
      </c:spPr>
      <c:txPr>
        <a:bodyPr/>
        <a:lstStyle/>
        <a:p>
          <a:pPr>
            <a:defRPr b="0" sz="1000" spc="-1" strike="noStrike">
              <a:solidFill>
                <a:srgbClr val="000000"/>
              </a:solidFill>
              <a:latin typeface="Calibri"/>
            </a:defRPr>
          </a:pPr>
        </a:p>
      </c:txPr>
    </c:legend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1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8</xdr:col>
      <xdr:colOff>0</xdr:colOff>
      <xdr:row>2</xdr:row>
      <xdr:rowOff>160920</xdr:rowOff>
    </xdr:from>
    <xdr:to>
      <xdr:col>20</xdr:col>
      <xdr:colOff>581400</xdr:colOff>
      <xdr:row>18</xdr:row>
      <xdr:rowOff>162000</xdr:rowOff>
    </xdr:to>
    <xdr:graphicFrame>
      <xdr:nvGraphicFramePr>
        <xdr:cNvPr id="0" name="Chart 1"/>
        <xdr:cNvGraphicFramePr/>
      </xdr:nvGraphicFramePr>
      <xdr:xfrm>
        <a:off x="9210600" y="571680"/>
        <a:ext cx="7919640" cy="323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xmlns:r="http://schemas.openxmlformats.org/officeDocument/2006/relationships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itchFamily="0" charset="1"/>
        <a:ea typeface=""/>
        <a:cs typeface=""/>
      </a:majorFont>
      <a:minorFont>
        <a:latin typeface="Calibri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 l="0" t="0" r="0" b="0"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 l="0" t="0" r="0" b="0"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 l="0" t="0" r="0" b="0"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 l="0" t="0" r="0" b="0"/>
        </a:gradFill>
      </a:bgFillStyleLst>
    </a:fmtScheme>
  </a:themeElements>
</a:theme>
</file>

<file path=xl/worksheets/_rels/sheet1.xml.rels><?xml version="1.0" encoding="UTF-8"?>
<Relationships xmlns="http://schemas.openxmlformats.org/package/2006/relationships"><Relationship Id="rId1" Type="http://schemas.openxmlformats.org/officeDocument/2006/relationships/comments" Target="../comments1.xml"/><Relationship Id="rId2" Type="http://schemas.openxmlformats.org/officeDocument/2006/relationships/drawing" Target="../drawings/drawing1.xml"/><Relationship Id="rId3" Type="http://schemas.openxmlformats.org/officeDocument/2006/relationships/vmlDrawing" Target="../drawings/vmlDrawing1.v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6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32"/>
    <col collapsed="false" customWidth="true" hidden="false" outlineLevel="0" max="4" min="2" style="0" width="14"/>
    <col collapsed="false" customWidth="true" hidden="false" outlineLevel="0" max="5" min="5" style="0" width="16"/>
    <col collapsed="false" customWidth="true" hidden="false" outlineLevel="0" max="6" min="6" style="0" width="18"/>
    <col collapsed="false" customWidth="true" hidden="false" outlineLevel="0" max="7" min="7" style="0" width="14"/>
  </cols>
  <sheetData>
    <row r="1" customFormat="false" ht="17.35" hidden="false" customHeight="false" outlineLevel="0" collapsed="false">
      <c r="A1" s="1" t="s">
        <v>0</v>
      </c>
    </row>
    <row r="2" customFormat="false" ht="15" hidden="false" customHeight="false" outlineLevel="0" collapsed="false">
      <c r="A2" s="2" t="s">
        <v>1</v>
      </c>
    </row>
    <row r="3" customFormat="false" ht="15" hidden="false" customHeight="false" outlineLevel="0" collapsed="false">
      <c r="I3" s="2" t="s">
        <v>2</v>
      </c>
    </row>
    <row r="4" customFormat="false" ht="15" hidden="false" customHeight="false" outlineLevel="0" collapsed="false">
      <c r="A4" s="3" t="s">
        <v>3</v>
      </c>
      <c r="B4" s="4"/>
      <c r="C4" s="4"/>
      <c r="D4" s="4"/>
      <c r="E4" s="4"/>
      <c r="F4" s="4"/>
      <c r="G4" s="4"/>
    </row>
    <row r="5" customFormat="false" ht="15" hidden="false" customHeight="false" outlineLevel="0" collapsed="false">
      <c r="A5" s="4"/>
      <c r="B5" s="4" t="s">
        <v>4</v>
      </c>
      <c r="C5" s="5" t="n">
        <v>7500</v>
      </c>
      <c r="D5" s="2" t="s">
        <v>5</v>
      </c>
      <c r="E5" s="4"/>
      <c r="F5" s="4"/>
      <c r="G5" s="4"/>
    </row>
    <row r="6" customFormat="false" ht="15" hidden="false" customHeight="false" outlineLevel="0" collapsed="false">
      <c r="A6" s="4"/>
      <c r="B6" s="4" t="s">
        <v>6</v>
      </c>
      <c r="C6" s="6" t="n">
        <v>0.04</v>
      </c>
      <c r="D6" s="2" t="s">
        <v>7</v>
      </c>
      <c r="E6" s="4"/>
      <c r="F6" s="4"/>
      <c r="G6" s="4"/>
    </row>
    <row r="7" customFormat="false" ht="15" hidden="false" customHeight="false" outlineLevel="0" collapsed="false">
      <c r="A7" s="4"/>
      <c r="B7" s="4" t="s">
        <v>8</v>
      </c>
      <c r="C7" s="7" t="n">
        <v>0.01</v>
      </c>
      <c r="D7" s="2" t="s">
        <v>9</v>
      </c>
      <c r="E7" s="4"/>
      <c r="F7" s="4"/>
      <c r="G7" s="4"/>
    </row>
    <row r="8" customFormat="false" ht="15" hidden="false" customHeight="false" outlineLevel="0" collapsed="false">
      <c r="A8" s="4"/>
      <c r="B8" s="4" t="s">
        <v>10</v>
      </c>
      <c r="C8" s="8" t="n">
        <v>63.8</v>
      </c>
      <c r="D8" s="2" t="s">
        <v>11</v>
      </c>
      <c r="E8" s="4"/>
      <c r="F8" s="4"/>
      <c r="G8" s="4"/>
    </row>
    <row r="9" customFormat="false" ht="15" hidden="false" customHeight="false" outlineLevel="0" collapsed="false">
      <c r="A9" s="4"/>
      <c r="B9" s="4"/>
      <c r="C9" s="4"/>
      <c r="D9" s="4"/>
      <c r="E9" s="4"/>
      <c r="F9" s="4"/>
      <c r="G9" s="4"/>
    </row>
    <row r="10" customFormat="false" ht="15" hidden="false" customHeight="false" outlineLevel="0" collapsed="false">
      <c r="A10" s="3" t="s">
        <v>12</v>
      </c>
    </row>
    <row r="11" customFormat="false" ht="30" hidden="false" customHeight="true" outlineLevel="0" collapsed="false">
      <c r="A11" s="9"/>
      <c r="B11" s="9" t="s">
        <v>13</v>
      </c>
      <c r="C11" s="9" t="s">
        <v>14</v>
      </c>
      <c r="D11" s="9" t="s">
        <v>15</v>
      </c>
      <c r="E11" s="9" t="s">
        <v>16</v>
      </c>
      <c r="F11" s="9" t="s">
        <v>17</v>
      </c>
      <c r="G11" s="9" t="s">
        <v>18</v>
      </c>
    </row>
    <row r="12" customFormat="false" ht="15" hidden="false" customHeight="false" outlineLevel="0" collapsed="false">
      <c r="A12" s="10" t="s">
        <v>19</v>
      </c>
      <c r="B12" s="11" t="n">
        <f aca="false">$C$5</f>
        <v>7500</v>
      </c>
      <c r="C12" s="11" t="n">
        <f aca="false">INDEX(Weekly!$N$2:$N$53,26)</f>
        <v>9189.18</v>
      </c>
      <c r="D12" s="11" t="n">
        <f aca="false">INDEX(Weekly!$N$2:$N$53,52)</f>
        <v>11924.36</v>
      </c>
      <c r="E12" s="11" t="n">
        <f aca="false">C12-B12</f>
        <v>1689.18</v>
      </c>
      <c r="F12" s="11" t="n">
        <f aca="false">D12-C12</f>
        <v>2735.18</v>
      </c>
      <c r="G12" s="11" t="n">
        <f aca="false">D12-B12</f>
        <v>4424.36</v>
      </c>
    </row>
    <row r="13" customFormat="false" ht="15" hidden="false" customHeight="false" outlineLevel="0" collapsed="false">
      <c r="A13" s="10" t="s">
        <v>20</v>
      </c>
      <c r="B13" s="12"/>
      <c r="C13" s="12" t="n">
        <f aca="false">C12/B12-1</f>
        <v>0.225224</v>
      </c>
      <c r="D13" s="12" t="n">
        <f aca="false">D12/B12-1</f>
        <v>0.589914666666667</v>
      </c>
      <c r="E13" s="12"/>
      <c r="F13" s="12"/>
      <c r="G13" s="12"/>
    </row>
    <row r="14" customFormat="false" ht="15" hidden="false" customHeight="false" outlineLevel="0" collapsed="false">
      <c r="A14" s="10" t="s">
        <v>21</v>
      </c>
      <c r="B14" s="13"/>
      <c r="C14" s="13"/>
      <c r="D14" s="13"/>
      <c r="E14" s="13" t="n">
        <f aca="false">(C12/B12)^(1/26)-1</f>
        <v>0.00784304621048859</v>
      </c>
      <c r="F14" s="13" t="n">
        <f aca="false">(D12/C12)^(1/26)-1</f>
        <v>0.0100717925521203</v>
      </c>
      <c r="G14" s="13" t="n">
        <f aca="false">(D12/B12)^(1/52)-1</f>
        <v>0.00895680397974297</v>
      </c>
    </row>
    <row r="15" customFormat="false" ht="15" hidden="false" customHeight="false" outlineLevel="0" collapsed="false">
      <c r="A15" s="10" t="s">
        <v>22</v>
      </c>
      <c r="B15" s="14" t="n">
        <f aca="false">$C$5</f>
        <v>7500</v>
      </c>
      <c r="C15" s="14" t="n">
        <f aca="false">$C$5*(1+$C$7)^26</f>
        <v>9714.42236225555</v>
      </c>
      <c r="D15" s="14" t="n">
        <f aca="false">$C$5*(1+$C$7)^52</f>
        <v>12582.6669109721</v>
      </c>
      <c r="E15" s="14"/>
      <c r="F15" s="14"/>
      <c r="G15" s="14"/>
    </row>
    <row r="16" customFormat="false" ht="15" hidden="false" customHeight="false" outlineLevel="0" collapsed="false">
      <c r="A16" s="10" t="s">
        <v>23</v>
      </c>
      <c r="B16" s="14"/>
      <c r="C16" s="14" t="n">
        <f aca="false">C12-C15</f>
        <v>-525.242362255547</v>
      </c>
      <c r="D16" s="14" t="n">
        <f aca="false">D12-D15</f>
        <v>-658.306910972086</v>
      </c>
      <c r="E16" s="14"/>
      <c r="F16" s="14"/>
      <c r="G16" s="14"/>
    </row>
    <row r="17" customFormat="false" ht="15" hidden="false" customHeight="false" outlineLevel="0" collapsed="false">
      <c r="A17" s="10" t="s">
        <v>24</v>
      </c>
      <c r="B17" s="15" t="n">
        <f aca="false">$C$8</f>
        <v>63.8</v>
      </c>
      <c r="C17" s="15" t="n">
        <f aca="false">INDEX(Weekly!$D$2:$D$53,26)</f>
        <v>92.15</v>
      </c>
      <c r="D17" s="15" t="n">
        <f aca="false">INDEX(Weekly!$D$2:$D$53,52)</f>
        <v>64.67</v>
      </c>
      <c r="E17" s="12" t="n">
        <f aca="false">C17/B17-1</f>
        <v>0.44435736677116</v>
      </c>
      <c r="F17" s="12" t="n">
        <f aca="false">D17/C17-1</f>
        <v>-0.298209441128595</v>
      </c>
      <c r="G17" s="12" t="n">
        <f aca="false">D17/B17-1</f>
        <v>0.0136363636363637</v>
      </c>
    </row>
    <row r="18" customFormat="false" ht="15" hidden="false" customHeight="false" outlineLevel="0" collapsed="false">
      <c r="A18" s="10" t="s">
        <v>25</v>
      </c>
      <c r="B18" s="14" t="n">
        <f aca="false">$C$5</f>
        <v>7500</v>
      </c>
      <c r="C18" s="14" t="n">
        <f aca="false">$C$5*C17/$C$8</f>
        <v>10832.6802507837</v>
      </c>
      <c r="D18" s="14" t="n">
        <f aca="false">$C$5*D17/$C$8</f>
        <v>7602.27272727273</v>
      </c>
      <c r="E18" s="14"/>
      <c r="F18" s="14"/>
      <c r="G18" s="14"/>
    </row>
    <row r="19" customFormat="false" ht="15" hidden="false" customHeight="false" outlineLevel="0" collapsed="false">
      <c r="A19" s="10" t="s">
        <v>26</v>
      </c>
      <c r="B19" s="14" t="n">
        <f aca="false">$C$5</f>
        <v>7500</v>
      </c>
      <c r="C19" s="14" t="n">
        <f aca="false">$C$5*(1+$C$6*182/365)</f>
        <v>7649.58904109589</v>
      </c>
      <c r="D19" s="14" t="n">
        <f aca="false">$C$5*(1+$C$6*364/365)</f>
        <v>7799.17808219178</v>
      </c>
      <c r="E19" s="14"/>
      <c r="F19" s="14"/>
      <c r="G19" s="14"/>
    </row>
    <row r="20" customFormat="false" ht="15" hidden="false" customHeight="false" outlineLevel="0" collapsed="false">
      <c r="A20" s="10" t="s">
        <v>27</v>
      </c>
      <c r="B20" s="14"/>
      <c r="C20" s="14"/>
      <c r="D20" s="14"/>
      <c r="E20" s="14" t="n">
        <f aca="false">SUM(Weekly!H2:H27)</f>
        <v>2315</v>
      </c>
      <c r="F20" s="14" t="n">
        <f aca="false">SUM(Weekly!H28:H53)</f>
        <v>3385</v>
      </c>
      <c r="G20" s="14" t="n">
        <f aca="false">SUM(Weekly!H2:H53)</f>
        <v>5700</v>
      </c>
    </row>
    <row r="21" customFormat="false" ht="15" hidden="false" customHeight="false" outlineLevel="0" collapsed="false">
      <c r="A21" s="10" t="s">
        <v>28</v>
      </c>
      <c r="B21" s="14"/>
      <c r="C21" s="14"/>
      <c r="D21" s="14"/>
      <c r="E21" s="14" t="n">
        <f aca="false">SUM(Weekly!I2:I27)</f>
        <v>1212</v>
      </c>
      <c r="F21" s="14" t="n">
        <f aca="false">SUM(Weekly!I28:I53)</f>
        <v>1536</v>
      </c>
      <c r="G21" s="14" t="n">
        <f aca="false">SUM(Weekly!I2:I53)</f>
        <v>2748</v>
      </c>
    </row>
    <row r="22" customFormat="false" ht="15" hidden="false" customHeight="false" outlineLevel="0" collapsed="false">
      <c r="A22" s="10" t="s">
        <v>29</v>
      </c>
      <c r="B22" s="14"/>
      <c r="C22" s="14"/>
      <c r="D22" s="14"/>
      <c r="E22" s="14" t="n">
        <f aca="false">SUM(Weekly!J2:J27)</f>
        <v>1103</v>
      </c>
      <c r="F22" s="14" t="n">
        <f aca="false">SUM(Weekly!J28:J53)</f>
        <v>1849</v>
      </c>
      <c r="G22" s="14" t="n">
        <f aca="false">SUM(Weekly!J2:J53)</f>
        <v>2952</v>
      </c>
    </row>
    <row r="23" customFormat="false" ht="15" hidden="false" customHeight="false" outlineLevel="0" collapsed="false">
      <c r="A23" s="10" t="s">
        <v>30</v>
      </c>
      <c r="B23" s="14"/>
      <c r="C23" s="14"/>
      <c r="D23" s="14"/>
      <c r="E23" s="14" t="n">
        <f aca="false">SUM(Weekly!K2:K27)</f>
        <v>450</v>
      </c>
      <c r="F23" s="14" t="n">
        <f aca="false">SUM(Weekly!K28:K53)</f>
        <v>700</v>
      </c>
      <c r="G23" s="14" t="n">
        <f aca="false">SUM(Weekly!K2:K53)</f>
        <v>1150</v>
      </c>
    </row>
    <row r="24" customFormat="false" ht="15" hidden="false" customHeight="false" outlineLevel="0" collapsed="false">
      <c r="A24" s="10" t="s">
        <v>31</v>
      </c>
      <c r="B24" s="14"/>
      <c r="C24" s="14"/>
      <c r="D24" s="14"/>
      <c r="E24" s="14" t="n">
        <f aca="false">SUM(Weekly!L2:L27)</f>
        <v>136.18</v>
      </c>
      <c r="F24" s="14" t="n">
        <f aca="false">SUM(Weekly!L28:L53)</f>
        <v>186.18</v>
      </c>
      <c r="G24" s="14" t="n">
        <f aca="false">SUM(Weekly!L2:L53)</f>
        <v>322.36</v>
      </c>
    </row>
    <row r="25" customFormat="false" ht="15" hidden="false" customHeight="false" outlineLevel="0" collapsed="false">
      <c r="A25" s="10" t="s">
        <v>32</v>
      </c>
      <c r="B25" s="11"/>
      <c r="C25" s="11"/>
      <c r="D25" s="11"/>
      <c r="E25" s="11" t="n">
        <f aca="false">SUM(E22:E24)</f>
        <v>1689.18</v>
      </c>
      <c r="F25" s="11" t="n">
        <f aca="false">SUM(F22:F24)</f>
        <v>2735.18</v>
      </c>
      <c r="G25" s="11" t="n">
        <f aca="false">SUM(G22:G24)</f>
        <v>4424.36</v>
      </c>
    </row>
    <row r="26" customFormat="false" ht="15" hidden="false" customHeight="false" outlineLevel="0" collapsed="false">
      <c r="A26" s="10" t="s">
        <v>33</v>
      </c>
      <c r="B26" s="16"/>
      <c r="C26" s="16"/>
      <c r="D26" s="16"/>
      <c r="E26" s="16" t="n">
        <f aca="false">SUM(Weekly!G2:G27)</f>
        <v>42</v>
      </c>
      <c r="F26" s="16" t="n">
        <f aca="false">SUM(Weekly!G28:G53)</f>
        <v>51</v>
      </c>
      <c r="G26" s="16" t="n">
        <f aca="false">SUM(Weekly!G2:G53)</f>
        <v>93</v>
      </c>
    </row>
    <row r="27" customFormat="false" ht="15" hidden="false" customHeight="false" outlineLevel="0" collapsed="false">
      <c r="A27" s="10" t="s">
        <v>34</v>
      </c>
      <c r="B27" s="16"/>
      <c r="C27" s="16"/>
      <c r="D27" s="16"/>
      <c r="E27" s="16" t="n">
        <f aca="false">COUNTIF(Weekly!Q2:Q27,"Yes")</f>
        <v>15</v>
      </c>
      <c r="F27" s="16" t="n">
        <f aca="false">COUNTIF(Weekly!Q28:Q53,"Yes")</f>
        <v>11</v>
      </c>
      <c r="G27" s="16" t="n">
        <f aca="false">COUNTIF(Weekly!Q2:Q53,"Yes")</f>
        <v>26</v>
      </c>
    </row>
    <row r="28" customFormat="false" ht="15" hidden="false" customHeight="false" outlineLevel="0" collapsed="false">
      <c r="A28" s="10" t="s">
        <v>35</v>
      </c>
      <c r="B28" s="16"/>
      <c r="C28" s="16"/>
      <c r="D28" s="16"/>
      <c r="E28" s="16" t="n">
        <f aca="false">COUNTIF(Weekly!O2:O27,"&gt;0")</f>
        <v>23</v>
      </c>
      <c r="F28" s="16" t="n">
        <f aca="false">COUNTIF(Weekly!O28:O53,"&gt;0")</f>
        <v>23</v>
      </c>
      <c r="G28" s="16" t="n">
        <f aca="false">COUNTIF(Weekly!O2:O53,"&gt;0")</f>
        <v>46</v>
      </c>
    </row>
    <row r="29" customFormat="false" ht="15" hidden="false" customHeight="false" outlineLevel="0" collapsed="false">
      <c r="A29" s="10" t="s">
        <v>36</v>
      </c>
      <c r="B29" s="16"/>
      <c r="C29" s="16"/>
      <c r="D29" s="16"/>
      <c r="E29" s="16" t="n">
        <f aca="false">COUNTIF(Weekly!O2:O27,"&lt;0")</f>
        <v>3</v>
      </c>
      <c r="F29" s="16" t="n">
        <f aca="false">COUNTIF(Weekly!O28:O53,"&lt;0")</f>
        <v>3</v>
      </c>
      <c r="G29" s="16" t="n">
        <f aca="false">COUNTIF(Weekly!O2:O53,"&lt;0")</f>
        <v>6</v>
      </c>
    </row>
    <row r="30" customFormat="false" ht="15" hidden="false" customHeight="false" outlineLevel="0" collapsed="false">
      <c r="A30" s="10" t="s">
        <v>37</v>
      </c>
      <c r="B30" s="13"/>
      <c r="C30" s="13"/>
      <c r="D30" s="13"/>
      <c r="E30" s="13" t="n">
        <f aca="false">MAX(Weekly!P2:P27)</f>
        <v>0.0625752605572394</v>
      </c>
      <c r="F30" s="13" t="n">
        <f aca="false">MAX(Weekly!P28:P53)</f>
        <v>0.10148152162013</v>
      </c>
      <c r="G30" s="13" t="n">
        <f aca="false">MAX(Weekly!P2:P53)</f>
        <v>0.10148152162013</v>
      </c>
    </row>
    <row r="31" customFormat="false" ht="15" hidden="false" customHeight="false" outlineLevel="0" collapsed="false">
      <c r="A31" s="10" t="s">
        <v>38</v>
      </c>
      <c r="B31" s="13"/>
      <c r="C31" s="13"/>
      <c r="D31" s="13"/>
      <c r="E31" s="13" t="n">
        <f aca="false">MIN(Weekly!P2:P27)</f>
        <v>-0.11632</v>
      </c>
      <c r="F31" s="13" t="n">
        <f aca="false">MIN(Weekly!P28:P53)</f>
        <v>-0.0370567964969672</v>
      </c>
      <c r="G31" s="13" t="n">
        <f aca="false">MIN(Weekly!P2:P53)</f>
        <v>-0.11632</v>
      </c>
    </row>
    <row r="32" customFormat="false" ht="15" hidden="false" customHeight="false" outlineLevel="0" collapsed="false">
      <c r="A32" s="10" t="s">
        <v>39</v>
      </c>
      <c r="B32" s="16"/>
      <c r="C32" s="16"/>
      <c r="D32" s="16"/>
      <c r="E32" s="16" t="n">
        <f aca="false">COUNTIFS(Trades!B2:B94,"&lt;=26",Trades!L2:L94,"Assigned")</f>
        <v>2</v>
      </c>
      <c r="F32" s="16" t="n">
        <f aca="false">COUNTIFS(Trades!B2:B94,"&gt;26",Trades!L2:L94,"Assigned")</f>
        <v>2</v>
      </c>
      <c r="G32" s="16" t="n">
        <f aca="false">COUNTIF(Trades!L2:L94,"Assigned")</f>
        <v>4</v>
      </c>
    </row>
    <row r="33" customFormat="false" ht="15" hidden="false" customHeight="false" outlineLevel="0" collapsed="false">
      <c r="A33" s="10" t="s">
        <v>40</v>
      </c>
      <c r="B33" s="16"/>
      <c r="C33" s="16"/>
      <c r="D33" s="16"/>
      <c r="E33" s="16" t="n">
        <f aca="false">COUNTIFS(Trades!B2:B94,"&lt;=26",Trades!L2:L94,"Called away")</f>
        <v>2</v>
      </c>
      <c r="F33" s="16" t="n">
        <f aca="false">COUNTIFS(Trades!B2:B94,"&gt;26",Trades!L2:L94,"Called away")</f>
        <v>2</v>
      </c>
      <c r="G33" s="16" t="n">
        <f aca="false">COUNTIF(Trades!L2:L94,"Called away")</f>
        <v>4</v>
      </c>
    </row>
    <row r="35" customFormat="false" ht="15" hidden="false" customHeight="false" outlineLevel="0" collapsed="false">
      <c r="A35" s="2" t="s">
        <v>41</v>
      </c>
    </row>
    <row r="36" customFormat="false" ht="15" hidden="false" customHeight="false" outlineLevel="0" collapsed="false">
      <c r="A36" s="2" t="s">
        <v>42</v>
      </c>
    </row>
    <row r="37" customFormat="false" ht="15" hidden="false" customHeight="false" outlineLevel="0" collapsed="false">
      <c r="A37" s="2" t="s">
        <v>43</v>
      </c>
    </row>
    <row r="39" customFormat="false" ht="15" hidden="false" customHeight="false" outlineLevel="0" collapsed="false">
      <c r="A39" s="3" t="s">
        <v>44</v>
      </c>
    </row>
    <row r="40" customFormat="false" ht="23.85" hidden="false" customHeight="false" outlineLevel="0" collapsed="false">
      <c r="A40" s="9" t="s">
        <v>45</v>
      </c>
      <c r="B40" s="9" t="s">
        <v>46</v>
      </c>
      <c r="C40" s="9" t="s">
        <v>47</v>
      </c>
      <c r="D40" s="9" t="s">
        <v>48</v>
      </c>
    </row>
    <row r="41" customFormat="false" ht="15" hidden="false" customHeight="false" outlineLevel="0" collapsed="false">
      <c r="A41" s="10" t="s">
        <v>49</v>
      </c>
      <c r="B41" s="17" t="n">
        <v>6575.78</v>
      </c>
      <c r="C41" s="18" t="n">
        <f aca="false">C12</f>
        <v>9189.18</v>
      </c>
      <c r="D41" s="14" t="n">
        <f aca="false">C41-B41</f>
        <v>2613.4</v>
      </c>
    </row>
    <row r="42" customFormat="false" ht="15" hidden="false" customHeight="false" outlineLevel="0" collapsed="false">
      <c r="A42" s="10" t="s">
        <v>20</v>
      </c>
      <c r="B42" s="12" t="n">
        <f aca="false">B41/$C$5-1</f>
        <v>-0.123229333333333</v>
      </c>
      <c r="C42" s="19" t="n">
        <f aca="false">C13</f>
        <v>0.225224</v>
      </c>
      <c r="D42" s="12" t="n">
        <f aca="false">C42-B42</f>
        <v>0.348453333333334</v>
      </c>
    </row>
    <row r="43" customFormat="false" ht="15" hidden="false" customHeight="false" outlineLevel="0" collapsed="false">
      <c r="A43" s="10" t="s">
        <v>21</v>
      </c>
      <c r="B43" s="13" t="n">
        <f aca="false">(B41/$C$5)^(1/26)-1</f>
        <v>-0.00504529944068088</v>
      </c>
      <c r="C43" s="20" t="n">
        <f aca="false">E14</f>
        <v>0.00784304621048859</v>
      </c>
      <c r="D43" s="13" t="n">
        <f aca="false">C43-B43</f>
        <v>0.0128883456511695</v>
      </c>
    </row>
    <row r="44" customFormat="false" ht="15" hidden="false" customHeight="false" outlineLevel="0" collapsed="false">
      <c r="A44" s="10" t="s">
        <v>23</v>
      </c>
      <c r="B44" s="14" t="n">
        <f aca="false">B41-$C$5*(1+$C$7)^26</f>
        <v>-3138.64236225555</v>
      </c>
      <c r="C44" s="18" t="n">
        <f aca="false">C16</f>
        <v>-525.242362255547</v>
      </c>
      <c r="D44" s="14" t="n">
        <f aca="false">C44-B44</f>
        <v>2613.4</v>
      </c>
    </row>
    <row r="45" customFormat="false" ht="15" hidden="false" customHeight="false" outlineLevel="0" collapsed="false">
      <c r="A45" s="10" t="s">
        <v>50</v>
      </c>
      <c r="B45" s="12" t="n">
        <f aca="false">27.53/$C$8-1</f>
        <v>-0.568495297805643</v>
      </c>
      <c r="C45" s="19" t="n">
        <f aca="false">E17</f>
        <v>0.44435736677116</v>
      </c>
      <c r="D45" s="21"/>
    </row>
    <row r="46" customFormat="false" ht="15" hidden="false" customHeight="false" outlineLevel="0" collapsed="false">
      <c r="A46" s="10" t="s">
        <v>27</v>
      </c>
      <c r="B46" s="17" t="n">
        <v>957</v>
      </c>
      <c r="C46" s="18" t="n">
        <f aca="false">E20</f>
        <v>2315</v>
      </c>
      <c r="D46" s="14" t="n">
        <f aca="false">C46-B46</f>
        <v>1358</v>
      </c>
    </row>
    <row r="47" customFormat="false" ht="15" hidden="false" customHeight="false" outlineLevel="0" collapsed="false">
      <c r="A47" s="10" t="s">
        <v>28</v>
      </c>
      <c r="B47" s="17" t="n">
        <v>32</v>
      </c>
      <c r="C47" s="18" t="n">
        <f aca="false">E21</f>
        <v>1212</v>
      </c>
      <c r="D47" s="14" t="n">
        <f aca="false">C47-B47</f>
        <v>1180</v>
      </c>
    </row>
    <row r="48" customFormat="false" ht="15" hidden="false" customHeight="false" outlineLevel="0" collapsed="false">
      <c r="A48" s="10" t="s">
        <v>29</v>
      </c>
      <c r="B48" s="14" t="n">
        <f aca="false">B46-B47</f>
        <v>925</v>
      </c>
      <c r="C48" s="18" t="n">
        <f aca="false">E22</f>
        <v>1103</v>
      </c>
      <c r="D48" s="14" t="n">
        <f aca="false">C48-B48</f>
        <v>178</v>
      </c>
    </row>
    <row r="49" customFormat="false" ht="15" hidden="false" customHeight="false" outlineLevel="0" collapsed="false">
      <c r="A49" s="10" t="s">
        <v>30</v>
      </c>
      <c r="B49" s="17" t="n">
        <v>-1947</v>
      </c>
      <c r="C49" s="18" t="n">
        <f aca="false">E23</f>
        <v>450</v>
      </c>
      <c r="D49" s="14" t="n">
        <f aca="false">C49-B49</f>
        <v>2397</v>
      </c>
    </row>
    <row r="50" customFormat="false" ht="15" hidden="false" customHeight="false" outlineLevel="0" collapsed="false">
      <c r="A50" s="10" t="s">
        <v>31</v>
      </c>
      <c r="B50" s="17" t="n">
        <v>97.78</v>
      </c>
      <c r="C50" s="18" t="n">
        <f aca="false">E24</f>
        <v>136.18</v>
      </c>
      <c r="D50" s="14" t="n">
        <f aca="false">C50-B50</f>
        <v>38.4</v>
      </c>
    </row>
    <row r="51" customFormat="false" ht="15" hidden="false" customHeight="false" outlineLevel="0" collapsed="false">
      <c r="A51" s="10" t="s">
        <v>33</v>
      </c>
      <c r="B51" s="22" t="n">
        <v>28</v>
      </c>
      <c r="C51" s="23" t="n">
        <f aca="false">E26</f>
        <v>42</v>
      </c>
      <c r="D51" s="16" t="n">
        <f aca="false">C51-B51</f>
        <v>14</v>
      </c>
    </row>
    <row r="52" customFormat="false" ht="15" hidden="false" customHeight="false" outlineLevel="0" collapsed="false">
      <c r="A52" s="10" t="s">
        <v>34</v>
      </c>
      <c r="B52" s="22" t="n">
        <v>8</v>
      </c>
      <c r="C52" s="23" t="n">
        <f aca="false">E27</f>
        <v>15</v>
      </c>
      <c r="D52" s="16" t="n">
        <f aca="false">C52-B52</f>
        <v>7</v>
      </c>
    </row>
    <row r="53" customFormat="false" ht="15" hidden="false" customHeight="false" outlineLevel="0" collapsed="false">
      <c r="A53" s="10" t="s">
        <v>35</v>
      </c>
      <c r="B53" s="22" t="n">
        <v>17</v>
      </c>
      <c r="C53" s="23" t="n">
        <f aca="false">E28</f>
        <v>23</v>
      </c>
      <c r="D53" s="16" t="n">
        <f aca="false">C53-B53</f>
        <v>6</v>
      </c>
    </row>
    <row r="54" customFormat="false" ht="15" hidden="false" customHeight="false" outlineLevel="0" collapsed="false">
      <c r="A54" s="10" t="s">
        <v>36</v>
      </c>
      <c r="B54" s="22" t="n">
        <v>9</v>
      </c>
      <c r="C54" s="23" t="n">
        <f aca="false">E29</f>
        <v>3</v>
      </c>
      <c r="D54" s="16" t="n">
        <f aca="false">C54-B54</f>
        <v>-6</v>
      </c>
    </row>
    <row r="55" customFormat="false" ht="15" hidden="false" customHeight="false" outlineLevel="0" collapsed="false">
      <c r="A55" s="10" t="s">
        <v>37</v>
      </c>
      <c r="B55" s="24" t="n">
        <v>0.108607573350849</v>
      </c>
      <c r="C55" s="20" t="n">
        <f aca="false">E30</f>
        <v>0.0625752605572394</v>
      </c>
      <c r="D55" s="13" t="n">
        <f aca="false">C55-B55</f>
        <v>-0.04603231279361</v>
      </c>
    </row>
    <row r="56" customFormat="false" ht="15" hidden="false" customHeight="false" outlineLevel="0" collapsed="false">
      <c r="A56" s="10" t="s">
        <v>38</v>
      </c>
      <c r="B56" s="24" t="n">
        <v>-0.10460491088503</v>
      </c>
      <c r="C56" s="20" t="n">
        <f aca="false">E31</f>
        <v>-0.11632</v>
      </c>
      <c r="D56" s="13" t="n">
        <f aca="false">C56-B56</f>
        <v>-0.0117150891149697</v>
      </c>
    </row>
    <row r="57" customFormat="false" ht="15" hidden="false" customHeight="false" outlineLevel="0" collapsed="false">
      <c r="A57" s="10" t="s">
        <v>39</v>
      </c>
      <c r="B57" s="22" t="n">
        <v>2</v>
      </c>
      <c r="C57" s="23" t="n">
        <f aca="false">E32</f>
        <v>2</v>
      </c>
      <c r="D57" s="16" t="n">
        <f aca="false">C57-B57</f>
        <v>0</v>
      </c>
    </row>
    <row r="58" customFormat="false" ht="15" hidden="false" customHeight="false" outlineLevel="0" collapsed="false">
      <c r="A58" s="10" t="s">
        <v>40</v>
      </c>
      <c r="B58" s="22" t="n">
        <v>1</v>
      </c>
      <c r="C58" s="23" t="n">
        <f aca="false">E33</f>
        <v>2</v>
      </c>
      <c r="D58" s="16" t="n">
        <f aca="false">C58-B58</f>
        <v>1</v>
      </c>
    </row>
    <row r="59" customFormat="false" ht="15" hidden="false" customHeight="false" outlineLevel="0" collapsed="false">
      <c r="A59" s="10" t="s">
        <v>51</v>
      </c>
      <c r="B59" s="25" t="s">
        <v>52</v>
      </c>
      <c r="C59" s="26" t="s">
        <v>53</v>
      </c>
      <c r="D59" s="21"/>
    </row>
    <row r="60" customFormat="false" ht="15" hidden="false" customHeight="false" outlineLevel="0" collapsed="false">
      <c r="A60" s="2" t="s">
        <v>54</v>
      </c>
    </row>
    <row r="61" customFormat="false" ht="15" hidden="false" customHeight="false" outlineLevel="0" collapsed="false">
      <c r="A61" s="2" t="s">
        <v>55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  <drawing r:id="rId2"/>
  <legacyDrawing r:id="rId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Q99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2" ySplit="1" topLeftCell="C2" activePane="bottomRight" state="frozen"/>
      <selection pane="topLeft" activeCell="A1" activeCellId="0" sqref="A1"/>
      <selection pane="topRight" activeCell="C1" activeCellId="0" sqref="C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8"/>
    <col collapsed="false" customWidth="true" hidden="false" outlineLevel="0" max="2" min="2" style="0" width="7"/>
    <col collapsed="false" customWidth="true" hidden="false" outlineLevel="0" max="3" min="3" style="0" width="8"/>
    <col collapsed="false" customWidth="true" hidden="false" outlineLevel="0" max="4" min="4" style="0" width="7"/>
    <col collapsed="false" customWidth="true" hidden="false" outlineLevel="0" max="5" min="5" style="0" width="8"/>
    <col collapsed="false" customWidth="true" hidden="false" outlineLevel="0" max="8" min="6" style="0" width="11"/>
    <col collapsed="false" customWidth="true" hidden="false" outlineLevel="0" max="9" min="9" style="0" width="12"/>
    <col collapsed="false" customWidth="true" hidden="false" outlineLevel="0" max="10" min="10" style="0" width="14"/>
    <col collapsed="false" customWidth="true" hidden="false" outlineLevel="0" max="11" min="11" style="0" width="12"/>
    <col collapsed="false" customWidth="true" hidden="false" outlineLevel="0" max="12" min="12" style="0" width="18"/>
    <col collapsed="false" customWidth="true" hidden="false" outlineLevel="0" max="13" min="13" style="0" width="12"/>
    <col collapsed="false" customWidth="true" hidden="false" outlineLevel="0" max="15" min="14" style="0" width="13"/>
    <col collapsed="false" customWidth="true" hidden="false" outlineLevel="0" max="16" min="16" style="0" width="12"/>
    <col collapsed="false" customWidth="true" hidden="false" outlineLevel="0" max="17" min="17" style="0" width="18"/>
  </cols>
  <sheetData>
    <row r="1" customFormat="false" ht="15" hidden="false" customHeight="false" outlineLevel="0" collapsed="false">
      <c r="A1" s="0" t="s">
        <v>56</v>
      </c>
      <c r="B1" s="0" t="s">
        <v>57</v>
      </c>
      <c r="C1" s="0" t="s">
        <v>58</v>
      </c>
      <c r="D1" s="0" t="s">
        <v>59</v>
      </c>
      <c r="E1" s="0" t="s">
        <v>60</v>
      </c>
      <c r="F1" s="0" t="s">
        <v>61</v>
      </c>
      <c r="G1" s="0" t="s">
        <v>62</v>
      </c>
      <c r="H1" s="0" t="s">
        <v>63</v>
      </c>
      <c r="I1" s="0" t="s">
        <v>64</v>
      </c>
      <c r="J1" s="0" t="s">
        <v>65</v>
      </c>
      <c r="K1" s="0" t="s">
        <v>66</v>
      </c>
      <c r="L1" s="0" t="s">
        <v>67</v>
      </c>
      <c r="M1" s="0" t="s">
        <v>68</v>
      </c>
      <c r="N1" s="0" t="s">
        <v>69</v>
      </c>
      <c r="O1" s="0" t="s">
        <v>70</v>
      </c>
      <c r="P1" s="0" t="s">
        <v>71</v>
      </c>
      <c r="Q1" s="0" t="s">
        <v>72</v>
      </c>
    </row>
    <row r="2" customFormat="false" ht="15" hidden="false" customHeight="false" outlineLevel="0" collapsed="false">
      <c r="A2" s="27" t="n">
        <v>1</v>
      </c>
      <c r="B2" s="27" t="n">
        <v>1</v>
      </c>
      <c r="C2" s="4" t="s">
        <v>73</v>
      </c>
      <c r="D2" s="4" t="s">
        <v>74</v>
      </c>
      <c r="E2" s="28" t="n">
        <v>56</v>
      </c>
      <c r="F2" s="8" t="n">
        <v>63.8</v>
      </c>
      <c r="G2" s="29" t="n">
        <f aca="false">(F2-E2)/F2</f>
        <v>0.122257053291536</v>
      </c>
      <c r="H2" s="8" t="n">
        <v>0.53</v>
      </c>
      <c r="I2" s="30" t="n">
        <f aca="false">H2*100</f>
        <v>53</v>
      </c>
      <c r="J2" s="31" t="n">
        <f aca="false">E2*100</f>
        <v>5600</v>
      </c>
      <c r="K2" s="32" t="n">
        <f aca="false">I2/J2</f>
        <v>0.00946428571428572</v>
      </c>
      <c r="L2" s="4" t="s">
        <v>75</v>
      </c>
      <c r="M2" s="8" t="n">
        <v>7.09</v>
      </c>
      <c r="N2" s="30" t="n">
        <f aca="false">M2*100</f>
        <v>709</v>
      </c>
      <c r="O2" s="30" t="n">
        <f aca="false">I2-N2</f>
        <v>-656</v>
      </c>
      <c r="P2" s="8" t="n">
        <v>38.44</v>
      </c>
      <c r="Q2" s="4"/>
    </row>
    <row r="3" customFormat="false" ht="15" hidden="false" customHeight="false" outlineLevel="0" collapsed="false">
      <c r="A3" s="27" t="n">
        <v>2</v>
      </c>
      <c r="B3" s="27" t="n">
        <v>1</v>
      </c>
      <c r="C3" s="4" t="s">
        <v>76</v>
      </c>
      <c r="D3" s="4" t="s">
        <v>74</v>
      </c>
      <c r="E3" s="28" t="n">
        <v>41</v>
      </c>
      <c r="F3" s="8" t="n">
        <v>49.36</v>
      </c>
      <c r="G3" s="29" t="n">
        <f aca="false">(F3-E3)/F3</f>
        <v>0.16936790923825</v>
      </c>
      <c r="H3" s="8" t="n">
        <v>0.35</v>
      </c>
      <c r="I3" s="30" t="n">
        <f aca="false">H3*100</f>
        <v>35</v>
      </c>
      <c r="J3" s="31" t="n">
        <f aca="false">E3*100</f>
        <v>4100</v>
      </c>
      <c r="K3" s="32" t="n">
        <f aca="false">I3/J3</f>
        <v>0.00853658536585366</v>
      </c>
      <c r="L3" s="4" t="s">
        <v>77</v>
      </c>
      <c r="M3" s="8" t="n">
        <v>0</v>
      </c>
      <c r="N3" s="30" t="n">
        <f aca="false">M3*100</f>
        <v>0</v>
      </c>
      <c r="O3" s="30" t="n">
        <f aca="false">I3-N3</f>
        <v>35</v>
      </c>
      <c r="P3" s="8" t="n">
        <v>38.44</v>
      </c>
      <c r="Q3" s="4" t="s">
        <v>78</v>
      </c>
    </row>
    <row r="4" customFormat="false" ht="15" hidden="false" customHeight="false" outlineLevel="0" collapsed="false">
      <c r="A4" s="27" t="n">
        <v>3</v>
      </c>
      <c r="B4" s="27" t="n">
        <v>2</v>
      </c>
      <c r="C4" s="4" t="s">
        <v>73</v>
      </c>
      <c r="D4" s="4" t="s">
        <v>74</v>
      </c>
      <c r="E4" s="28" t="n">
        <v>25</v>
      </c>
      <c r="F4" s="8" t="n">
        <v>38.44</v>
      </c>
      <c r="G4" s="29" t="n">
        <f aca="false">(F4-E4)/F4</f>
        <v>0.349635796045786</v>
      </c>
      <c r="H4" s="8" t="n">
        <v>0.42</v>
      </c>
      <c r="I4" s="30" t="n">
        <f aca="false">H4*100</f>
        <v>42</v>
      </c>
      <c r="J4" s="31" t="n">
        <f aca="false">E4*100</f>
        <v>2500</v>
      </c>
      <c r="K4" s="32" t="n">
        <f aca="false">I4/J4</f>
        <v>0.0168</v>
      </c>
      <c r="L4" s="4" t="s">
        <v>75</v>
      </c>
      <c r="M4" s="8" t="n">
        <v>0.01</v>
      </c>
      <c r="N4" s="30" t="n">
        <f aca="false">M4*100</f>
        <v>1</v>
      </c>
      <c r="O4" s="30" t="n">
        <f aca="false">I4-N4</f>
        <v>41</v>
      </c>
      <c r="P4" s="8" t="n">
        <v>37.75</v>
      </c>
      <c r="Q4" s="4"/>
    </row>
    <row r="5" customFormat="false" ht="15" hidden="false" customHeight="false" outlineLevel="0" collapsed="false">
      <c r="A5" s="27" t="n">
        <v>4</v>
      </c>
      <c r="B5" s="27" t="n">
        <v>2</v>
      </c>
      <c r="C5" s="4" t="s">
        <v>73</v>
      </c>
      <c r="D5" s="4" t="s">
        <v>79</v>
      </c>
      <c r="E5" s="28" t="n">
        <v>45</v>
      </c>
      <c r="F5" s="8" t="n">
        <v>38.44</v>
      </c>
      <c r="G5" s="29" t="n">
        <f aca="false">(E5-F5)/F5</f>
        <v>0.170655567117586</v>
      </c>
      <c r="H5" s="8" t="n">
        <v>0.71</v>
      </c>
      <c r="I5" s="30" t="n">
        <f aca="false">H5*100</f>
        <v>71</v>
      </c>
      <c r="J5" s="31" t="s">
        <v>80</v>
      </c>
      <c r="K5" s="32" t="n">
        <f aca="false">I5/(F5*100)</f>
        <v>0.0184703433922997</v>
      </c>
      <c r="L5" s="4" t="s">
        <v>81</v>
      </c>
      <c r="M5" s="8" t="n">
        <v>0</v>
      </c>
      <c r="N5" s="30" t="n">
        <f aca="false">M5*100</f>
        <v>0</v>
      </c>
      <c r="O5" s="30" t="n">
        <f aca="false">I5-N5</f>
        <v>71</v>
      </c>
      <c r="P5" s="8" t="n">
        <v>37.75</v>
      </c>
      <c r="Q5" s="4"/>
    </row>
    <row r="6" customFormat="false" ht="15" hidden="false" customHeight="false" outlineLevel="0" collapsed="false">
      <c r="A6" s="27" t="n">
        <v>5</v>
      </c>
      <c r="B6" s="27" t="n">
        <v>3</v>
      </c>
      <c r="C6" s="4" t="s">
        <v>76</v>
      </c>
      <c r="D6" s="4" t="s">
        <v>79</v>
      </c>
      <c r="E6" s="28" t="n">
        <v>42</v>
      </c>
      <c r="F6" s="8" t="n">
        <v>39.56</v>
      </c>
      <c r="G6" s="29" t="n">
        <f aca="false">(E6-F6)/F6</f>
        <v>0.0616784630940343</v>
      </c>
      <c r="H6" s="8" t="n">
        <v>0.23</v>
      </c>
      <c r="I6" s="30" t="n">
        <f aca="false">H6*100</f>
        <v>23</v>
      </c>
      <c r="J6" s="31" t="s">
        <v>80</v>
      </c>
      <c r="K6" s="32" t="n">
        <f aca="false">I6/(F6*100)</f>
        <v>0.00581395348837209</v>
      </c>
      <c r="L6" s="4" t="s">
        <v>81</v>
      </c>
      <c r="M6" s="8" t="n">
        <v>0</v>
      </c>
      <c r="N6" s="30" t="n">
        <f aca="false">M6*100</f>
        <v>0</v>
      </c>
      <c r="O6" s="30" t="n">
        <f aca="false">I6-N6</f>
        <v>23</v>
      </c>
      <c r="P6" s="8" t="n">
        <v>36.53</v>
      </c>
      <c r="Q6" s="4"/>
    </row>
    <row r="7" customFormat="false" ht="15" hidden="false" customHeight="false" outlineLevel="0" collapsed="false">
      <c r="A7" s="27" t="n">
        <v>6</v>
      </c>
      <c r="B7" s="27" t="n">
        <v>4</v>
      </c>
      <c r="C7" s="4" t="s">
        <v>73</v>
      </c>
      <c r="D7" s="4" t="s">
        <v>79</v>
      </c>
      <c r="E7" s="28" t="n">
        <v>42</v>
      </c>
      <c r="F7" s="8" t="n">
        <v>36.53</v>
      </c>
      <c r="G7" s="29" t="n">
        <f aca="false">(E7-F7)/F7</f>
        <v>0.149739939775527</v>
      </c>
      <c r="H7" s="8" t="n">
        <v>0.22</v>
      </c>
      <c r="I7" s="30" t="n">
        <f aca="false">H7*100</f>
        <v>22</v>
      </c>
      <c r="J7" s="31" t="s">
        <v>80</v>
      </c>
      <c r="K7" s="32" t="n">
        <f aca="false">I7/(F7*100)</f>
        <v>0.00602244730358609</v>
      </c>
      <c r="L7" s="4" t="s">
        <v>81</v>
      </c>
      <c r="M7" s="8" t="n">
        <v>0</v>
      </c>
      <c r="N7" s="30" t="n">
        <f aca="false">M7*100</f>
        <v>0</v>
      </c>
      <c r="O7" s="30" t="n">
        <f aca="false">I7-N7</f>
        <v>22</v>
      </c>
      <c r="P7" s="8" t="n">
        <v>40.02</v>
      </c>
      <c r="Q7" s="4"/>
    </row>
    <row r="8" customFormat="false" ht="15" hidden="false" customHeight="false" outlineLevel="0" collapsed="false">
      <c r="A8" s="27" t="n">
        <v>7</v>
      </c>
      <c r="B8" s="27" t="n">
        <v>4</v>
      </c>
      <c r="C8" s="4" t="s">
        <v>73</v>
      </c>
      <c r="D8" s="4" t="s">
        <v>74</v>
      </c>
      <c r="E8" s="28" t="n">
        <v>29</v>
      </c>
      <c r="F8" s="8" t="n">
        <v>36.53</v>
      </c>
      <c r="G8" s="29" t="n">
        <f aca="false">(F8-E8)/F8</f>
        <v>0.20613194634547</v>
      </c>
      <c r="H8" s="8" t="n">
        <v>0.24</v>
      </c>
      <c r="I8" s="30" t="n">
        <f aca="false">H8*100</f>
        <v>24</v>
      </c>
      <c r="J8" s="31" t="n">
        <f aca="false">E8*100</f>
        <v>2900</v>
      </c>
      <c r="K8" s="32" t="n">
        <f aca="false">I8/J8</f>
        <v>0.00827586206896552</v>
      </c>
      <c r="L8" s="4" t="s">
        <v>81</v>
      </c>
      <c r="M8" s="8" t="n">
        <v>0</v>
      </c>
      <c r="N8" s="30" t="n">
        <f aca="false">M8*100</f>
        <v>0</v>
      </c>
      <c r="O8" s="30" t="n">
        <f aca="false">I8-N8</f>
        <v>24</v>
      </c>
      <c r="P8" s="8" t="n">
        <v>40.02</v>
      </c>
      <c r="Q8" s="4"/>
    </row>
    <row r="9" customFormat="false" ht="15" hidden="false" customHeight="false" outlineLevel="0" collapsed="false">
      <c r="A9" s="27" t="n">
        <v>8</v>
      </c>
      <c r="B9" s="27" t="n">
        <v>5</v>
      </c>
      <c r="C9" s="4" t="s">
        <v>73</v>
      </c>
      <c r="D9" s="4" t="s">
        <v>79</v>
      </c>
      <c r="E9" s="28" t="n">
        <v>43</v>
      </c>
      <c r="F9" s="8" t="n">
        <v>40.02</v>
      </c>
      <c r="G9" s="29" t="n">
        <f aca="false">(E9-F9)/F9</f>
        <v>0.0744627686156921</v>
      </c>
      <c r="H9" s="8" t="n">
        <v>0.76</v>
      </c>
      <c r="I9" s="30" t="n">
        <f aca="false">H9*100</f>
        <v>76</v>
      </c>
      <c r="J9" s="31" t="s">
        <v>80</v>
      </c>
      <c r="K9" s="32" t="n">
        <f aca="false">I9/(F9*100)</f>
        <v>0.0189905047476262</v>
      </c>
      <c r="L9" s="4" t="s">
        <v>75</v>
      </c>
      <c r="M9" s="8" t="n">
        <v>2.66</v>
      </c>
      <c r="N9" s="30" t="n">
        <f aca="false">M9*100</f>
        <v>266</v>
      </c>
      <c r="O9" s="30" t="n">
        <f aca="false">I9-N9</f>
        <v>-190</v>
      </c>
      <c r="P9" s="8" t="n">
        <v>47.59</v>
      </c>
      <c r="Q9" s="4"/>
    </row>
    <row r="10" customFormat="false" ht="15" hidden="false" customHeight="false" outlineLevel="0" collapsed="false">
      <c r="A10" s="27" t="n">
        <v>9</v>
      </c>
      <c r="B10" s="27" t="n">
        <v>5</v>
      </c>
      <c r="C10" s="4" t="s">
        <v>76</v>
      </c>
      <c r="D10" s="4" t="s">
        <v>79</v>
      </c>
      <c r="E10" s="28" t="n">
        <v>44.5</v>
      </c>
      <c r="F10" s="8" t="n">
        <v>44.81</v>
      </c>
      <c r="G10" s="29" t="n">
        <f aca="false">(E10-F10)/F10</f>
        <v>-0.00691809863869677</v>
      </c>
      <c r="H10" s="8" t="n">
        <v>1.59</v>
      </c>
      <c r="I10" s="30" t="n">
        <f aca="false">H10*100</f>
        <v>159</v>
      </c>
      <c r="J10" s="31" t="s">
        <v>80</v>
      </c>
      <c r="K10" s="32" t="n">
        <f aca="false">I10/(F10*100)</f>
        <v>0.0354831510823477</v>
      </c>
      <c r="L10" s="4" t="s">
        <v>82</v>
      </c>
      <c r="M10" s="8" t="n">
        <v>0</v>
      </c>
      <c r="N10" s="30" t="n">
        <f aca="false">M10*100</f>
        <v>0</v>
      </c>
      <c r="O10" s="30" t="n">
        <f aca="false">I10-N10</f>
        <v>159</v>
      </c>
      <c r="P10" s="8" t="n">
        <v>47.59</v>
      </c>
      <c r="Q10" s="4" t="s">
        <v>83</v>
      </c>
    </row>
    <row r="11" customFormat="false" ht="15" hidden="false" customHeight="false" outlineLevel="0" collapsed="false">
      <c r="A11" s="27" t="n">
        <v>10</v>
      </c>
      <c r="B11" s="27" t="n">
        <v>6</v>
      </c>
      <c r="C11" s="4" t="s">
        <v>73</v>
      </c>
      <c r="D11" s="4" t="s">
        <v>74</v>
      </c>
      <c r="E11" s="28" t="n">
        <v>40</v>
      </c>
      <c r="F11" s="8" t="n">
        <v>47.59</v>
      </c>
      <c r="G11" s="29" t="n">
        <f aca="false">(F11-E11)/F11</f>
        <v>0.15948728724522</v>
      </c>
      <c r="H11" s="8" t="n">
        <v>0.46</v>
      </c>
      <c r="I11" s="30" t="n">
        <f aca="false">H11*100</f>
        <v>46</v>
      </c>
      <c r="J11" s="31" t="n">
        <f aca="false">E11*100</f>
        <v>4000</v>
      </c>
      <c r="K11" s="32" t="n">
        <f aca="false">I11/J11</f>
        <v>0.0115</v>
      </c>
      <c r="L11" s="4" t="s">
        <v>81</v>
      </c>
      <c r="M11" s="8" t="n">
        <v>0</v>
      </c>
      <c r="N11" s="30" t="n">
        <f aca="false">M11*100</f>
        <v>0</v>
      </c>
      <c r="O11" s="30" t="n">
        <f aca="false">I11-N11</f>
        <v>46</v>
      </c>
      <c r="P11" s="8" t="n">
        <v>46.18</v>
      </c>
      <c r="Q11" s="4"/>
    </row>
    <row r="12" customFormat="false" ht="15" hidden="false" customHeight="false" outlineLevel="0" collapsed="false">
      <c r="A12" s="27" t="n">
        <v>11</v>
      </c>
      <c r="B12" s="27" t="n">
        <v>7</v>
      </c>
      <c r="C12" s="4" t="s">
        <v>73</v>
      </c>
      <c r="D12" s="4" t="s">
        <v>74</v>
      </c>
      <c r="E12" s="28" t="n">
        <v>36</v>
      </c>
      <c r="F12" s="8" t="n">
        <v>46.18</v>
      </c>
      <c r="G12" s="29" t="n">
        <f aca="false">(F12-E12)/F12</f>
        <v>0.220441749675184</v>
      </c>
      <c r="H12" s="8" t="n">
        <v>0.34</v>
      </c>
      <c r="I12" s="30" t="n">
        <f aca="false">H12*100</f>
        <v>34</v>
      </c>
      <c r="J12" s="31" t="n">
        <f aca="false">E12*100</f>
        <v>3600</v>
      </c>
      <c r="K12" s="32" t="n">
        <f aca="false">I12/J12</f>
        <v>0.00944444444444445</v>
      </c>
      <c r="L12" s="4" t="s">
        <v>75</v>
      </c>
      <c r="M12" s="8" t="n">
        <v>0.01</v>
      </c>
      <c r="N12" s="30" t="n">
        <f aca="false">M12*100</f>
        <v>1</v>
      </c>
      <c r="O12" s="30" t="n">
        <f aca="false">I12-N12</f>
        <v>33</v>
      </c>
      <c r="P12" s="8" t="n">
        <v>53.08</v>
      </c>
      <c r="Q12" s="4"/>
    </row>
    <row r="13" customFormat="false" ht="15" hidden="false" customHeight="false" outlineLevel="0" collapsed="false">
      <c r="A13" s="27" t="n">
        <v>12</v>
      </c>
      <c r="B13" s="27" t="n">
        <v>7</v>
      </c>
      <c r="C13" s="4" t="s">
        <v>76</v>
      </c>
      <c r="D13" s="4" t="s">
        <v>74</v>
      </c>
      <c r="E13" s="28" t="n">
        <v>44</v>
      </c>
      <c r="F13" s="8" t="n">
        <v>49.74</v>
      </c>
      <c r="G13" s="29" t="n">
        <f aca="false">(F13-E13)/F13</f>
        <v>0.115400080418175</v>
      </c>
      <c r="H13" s="8" t="n">
        <v>0.29</v>
      </c>
      <c r="I13" s="30" t="n">
        <f aca="false">H13*100</f>
        <v>29</v>
      </c>
      <c r="J13" s="31" t="n">
        <f aca="false">E13*100</f>
        <v>4400</v>
      </c>
      <c r="K13" s="32" t="n">
        <f aca="false">I13/J13</f>
        <v>0.00659090909090909</v>
      </c>
      <c r="L13" s="4" t="s">
        <v>81</v>
      </c>
      <c r="M13" s="8" t="n">
        <v>0</v>
      </c>
      <c r="N13" s="30" t="n">
        <f aca="false">M13*100</f>
        <v>0</v>
      </c>
      <c r="O13" s="30" t="n">
        <f aca="false">I13-N13</f>
        <v>29</v>
      </c>
      <c r="P13" s="8" t="n">
        <v>53.08</v>
      </c>
      <c r="Q13" s="4"/>
    </row>
    <row r="14" customFormat="false" ht="15" hidden="false" customHeight="false" outlineLevel="0" collapsed="false">
      <c r="A14" s="27" t="n">
        <v>13</v>
      </c>
      <c r="B14" s="27" t="n">
        <v>8</v>
      </c>
      <c r="C14" s="4" t="s">
        <v>73</v>
      </c>
      <c r="D14" s="4" t="s">
        <v>74</v>
      </c>
      <c r="E14" s="28" t="n">
        <v>43</v>
      </c>
      <c r="F14" s="8" t="n">
        <v>53.08</v>
      </c>
      <c r="G14" s="29" t="n">
        <f aca="false">(F14-E14)/F14</f>
        <v>0.189902034664657</v>
      </c>
      <c r="H14" s="8" t="n">
        <v>0.49</v>
      </c>
      <c r="I14" s="30" t="n">
        <f aca="false">H14*100</f>
        <v>49</v>
      </c>
      <c r="J14" s="31" t="n">
        <f aca="false">E14*100</f>
        <v>4300</v>
      </c>
      <c r="K14" s="32" t="n">
        <f aca="false">I14/J14</f>
        <v>0.0113953488372093</v>
      </c>
      <c r="L14" s="4" t="s">
        <v>81</v>
      </c>
      <c r="M14" s="8" t="n">
        <v>0</v>
      </c>
      <c r="N14" s="30" t="n">
        <f aca="false">M14*100</f>
        <v>0</v>
      </c>
      <c r="O14" s="30" t="n">
        <f aca="false">I14-N14</f>
        <v>49</v>
      </c>
      <c r="P14" s="8" t="n">
        <v>55.21</v>
      </c>
      <c r="Q14" s="4"/>
    </row>
    <row r="15" customFormat="false" ht="15" hidden="false" customHeight="false" outlineLevel="0" collapsed="false">
      <c r="A15" s="27" t="n">
        <v>14</v>
      </c>
      <c r="B15" s="27" t="n">
        <v>9</v>
      </c>
      <c r="C15" s="4" t="s">
        <v>73</v>
      </c>
      <c r="D15" s="4" t="s">
        <v>74</v>
      </c>
      <c r="E15" s="28" t="n">
        <v>44</v>
      </c>
      <c r="F15" s="8" t="n">
        <v>55.21</v>
      </c>
      <c r="G15" s="29" t="n">
        <f aca="false">(F15-E15)/F15</f>
        <v>0.203042927005977</v>
      </c>
      <c r="H15" s="8" t="n">
        <v>0.87</v>
      </c>
      <c r="I15" s="30" t="n">
        <f aca="false">H15*100</f>
        <v>87</v>
      </c>
      <c r="J15" s="31" t="n">
        <f aca="false">E15*100</f>
        <v>4400</v>
      </c>
      <c r="K15" s="32" t="n">
        <f aca="false">I15/J15</f>
        <v>0.0197727272727273</v>
      </c>
      <c r="L15" s="4" t="s">
        <v>75</v>
      </c>
      <c r="M15" s="8" t="n">
        <v>0.01</v>
      </c>
      <c r="N15" s="30" t="n">
        <f aca="false">M15*100</f>
        <v>1</v>
      </c>
      <c r="O15" s="30" t="n">
        <f aca="false">I15-N15</f>
        <v>86</v>
      </c>
      <c r="P15" s="8" t="n">
        <v>58.89</v>
      </c>
      <c r="Q15" s="4"/>
    </row>
    <row r="16" customFormat="false" ht="15" hidden="false" customHeight="false" outlineLevel="0" collapsed="false">
      <c r="A16" s="27" t="n">
        <v>15</v>
      </c>
      <c r="B16" s="27" t="n">
        <v>9</v>
      </c>
      <c r="C16" s="4" t="s">
        <v>73</v>
      </c>
      <c r="D16" s="4" t="s">
        <v>74</v>
      </c>
      <c r="E16" s="28" t="n">
        <v>32.5</v>
      </c>
      <c r="F16" s="8" t="n">
        <v>55.21</v>
      </c>
      <c r="G16" s="29" t="n">
        <f aca="false">(F16-E16)/F16</f>
        <v>0.411338525629415</v>
      </c>
      <c r="H16" s="8" t="n">
        <v>0.09</v>
      </c>
      <c r="I16" s="30" t="n">
        <f aca="false">H16*100</f>
        <v>9</v>
      </c>
      <c r="J16" s="31" t="n">
        <f aca="false">E16*100</f>
        <v>3250</v>
      </c>
      <c r="K16" s="32" t="n">
        <f aca="false">I16/J16</f>
        <v>0.00276923076923077</v>
      </c>
      <c r="L16" s="4" t="s">
        <v>75</v>
      </c>
      <c r="M16" s="8" t="n">
        <v>0.01</v>
      </c>
      <c r="N16" s="30" t="n">
        <f aca="false">M16*100</f>
        <v>1</v>
      </c>
      <c r="O16" s="30" t="n">
        <f aca="false">I16-N16</f>
        <v>8</v>
      </c>
      <c r="P16" s="8" t="n">
        <v>58.89</v>
      </c>
      <c r="Q16" s="4"/>
    </row>
    <row r="17" customFormat="false" ht="15" hidden="false" customHeight="false" outlineLevel="0" collapsed="false">
      <c r="A17" s="27" t="n">
        <v>16</v>
      </c>
      <c r="B17" s="27" t="n">
        <v>10</v>
      </c>
      <c r="C17" s="4" t="s">
        <v>73</v>
      </c>
      <c r="D17" s="4" t="s">
        <v>74</v>
      </c>
      <c r="E17" s="28" t="n">
        <v>51.5</v>
      </c>
      <c r="F17" s="8" t="n">
        <v>58.89</v>
      </c>
      <c r="G17" s="29" t="n">
        <f aca="false">(F17-E17)/F17</f>
        <v>0.12548819833588</v>
      </c>
      <c r="H17" s="8" t="n">
        <v>0.47</v>
      </c>
      <c r="I17" s="30" t="n">
        <f aca="false">H17*100</f>
        <v>47</v>
      </c>
      <c r="J17" s="31" t="n">
        <f aca="false">E17*100</f>
        <v>5150</v>
      </c>
      <c r="K17" s="32" t="n">
        <f aca="false">I17/J17</f>
        <v>0.00912621359223301</v>
      </c>
      <c r="L17" s="4" t="s">
        <v>75</v>
      </c>
      <c r="M17" s="8" t="n">
        <v>0.27</v>
      </c>
      <c r="N17" s="30" t="n">
        <f aca="false">M17*100</f>
        <v>27</v>
      </c>
      <c r="O17" s="30" t="n">
        <f aca="false">I17-N17</f>
        <v>20</v>
      </c>
      <c r="P17" s="8" t="n">
        <v>60.22</v>
      </c>
      <c r="Q17" s="4"/>
    </row>
    <row r="18" customFormat="false" ht="15" hidden="false" customHeight="false" outlineLevel="0" collapsed="false">
      <c r="A18" s="27" t="n">
        <v>17</v>
      </c>
      <c r="B18" s="27" t="n">
        <v>10</v>
      </c>
      <c r="C18" s="4" t="s">
        <v>76</v>
      </c>
      <c r="D18" s="4" t="s">
        <v>74</v>
      </c>
      <c r="E18" s="28" t="n">
        <v>54</v>
      </c>
      <c r="F18" s="8" t="n">
        <v>60.99</v>
      </c>
      <c r="G18" s="29" t="n">
        <f aca="false">(F18-E18)/F18</f>
        <v>0.11460895228726</v>
      </c>
      <c r="H18" s="8" t="n">
        <v>0.49</v>
      </c>
      <c r="I18" s="30" t="n">
        <f aca="false">H18*100</f>
        <v>49</v>
      </c>
      <c r="J18" s="31" t="n">
        <f aca="false">E18*100</f>
        <v>5400</v>
      </c>
      <c r="K18" s="32" t="n">
        <f aca="false">I18/J18</f>
        <v>0.00907407407407408</v>
      </c>
      <c r="L18" s="4" t="s">
        <v>81</v>
      </c>
      <c r="M18" s="8" t="n">
        <v>0</v>
      </c>
      <c r="N18" s="30" t="n">
        <f aca="false">M18*100</f>
        <v>0</v>
      </c>
      <c r="O18" s="30" t="n">
        <f aca="false">I18-N18</f>
        <v>49</v>
      </c>
      <c r="P18" s="8" t="n">
        <v>60.22</v>
      </c>
      <c r="Q18" s="4"/>
    </row>
    <row r="19" customFormat="false" ht="15" hidden="false" customHeight="false" outlineLevel="0" collapsed="false">
      <c r="A19" s="27" t="n">
        <v>18</v>
      </c>
      <c r="B19" s="27" t="n">
        <v>11</v>
      </c>
      <c r="C19" s="4" t="s">
        <v>73</v>
      </c>
      <c r="D19" s="4" t="s">
        <v>74</v>
      </c>
      <c r="E19" s="28" t="n">
        <v>49</v>
      </c>
      <c r="F19" s="8" t="n">
        <v>60.22</v>
      </c>
      <c r="G19" s="29" t="n">
        <f aca="false">(F19-E19)/F19</f>
        <v>0.186316838259714</v>
      </c>
      <c r="H19" s="8" t="n">
        <v>0.68</v>
      </c>
      <c r="I19" s="30" t="n">
        <f aca="false">H19*100</f>
        <v>68</v>
      </c>
      <c r="J19" s="31" t="n">
        <f aca="false">E19*100</f>
        <v>4900</v>
      </c>
      <c r="K19" s="32" t="n">
        <f aca="false">I19/J19</f>
        <v>0.0138775510204082</v>
      </c>
      <c r="L19" s="4" t="s">
        <v>75</v>
      </c>
      <c r="M19" s="8" t="n">
        <v>0.01</v>
      </c>
      <c r="N19" s="30" t="n">
        <f aca="false">M19*100</f>
        <v>1</v>
      </c>
      <c r="O19" s="30" t="n">
        <f aca="false">I19-N19</f>
        <v>67</v>
      </c>
      <c r="P19" s="8" t="n">
        <v>66.23</v>
      </c>
      <c r="Q19" s="4"/>
    </row>
    <row r="20" customFormat="false" ht="15" hidden="false" customHeight="false" outlineLevel="0" collapsed="false">
      <c r="A20" s="27" t="n">
        <v>19</v>
      </c>
      <c r="B20" s="27" t="n">
        <v>11</v>
      </c>
      <c r="C20" s="4" t="s">
        <v>76</v>
      </c>
      <c r="D20" s="4" t="s">
        <v>74</v>
      </c>
      <c r="E20" s="28" t="n">
        <v>58</v>
      </c>
      <c r="F20" s="8" t="n">
        <v>65.88</v>
      </c>
      <c r="G20" s="29" t="n">
        <f aca="false">(F20-E20)/F20</f>
        <v>0.119611414693382</v>
      </c>
      <c r="H20" s="8" t="n">
        <v>0.21</v>
      </c>
      <c r="I20" s="30" t="n">
        <f aca="false">H20*100</f>
        <v>21</v>
      </c>
      <c r="J20" s="31" t="n">
        <f aca="false">E20*100</f>
        <v>5800</v>
      </c>
      <c r="K20" s="32" t="n">
        <f aca="false">I20/J20</f>
        <v>0.00362068965517241</v>
      </c>
      <c r="L20" s="4" t="s">
        <v>81</v>
      </c>
      <c r="M20" s="8" t="n">
        <v>0</v>
      </c>
      <c r="N20" s="30" t="n">
        <f aca="false">M20*100</f>
        <v>0</v>
      </c>
      <c r="O20" s="30" t="n">
        <f aca="false">I20-N20</f>
        <v>21</v>
      </c>
      <c r="P20" s="8" t="n">
        <v>66.23</v>
      </c>
      <c r="Q20" s="4"/>
    </row>
    <row r="21" customFormat="false" ht="15" hidden="false" customHeight="false" outlineLevel="0" collapsed="false">
      <c r="A21" s="27" t="n">
        <v>20</v>
      </c>
      <c r="B21" s="27" t="n">
        <v>12</v>
      </c>
      <c r="C21" s="4" t="s">
        <v>73</v>
      </c>
      <c r="D21" s="4" t="s">
        <v>74</v>
      </c>
      <c r="E21" s="28" t="n">
        <v>56</v>
      </c>
      <c r="F21" s="8" t="n">
        <v>66.23</v>
      </c>
      <c r="G21" s="29" t="n">
        <f aca="false">(F21-E21)/F21</f>
        <v>0.154461724294127</v>
      </c>
      <c r="H21" s="8" t="n">
        <v>0.57</v>
      </c>
      <c r="I21" s="30" t="n">
        <f aca="false">H21*100</f>
        <v>57</v>
      </c>
      <c r="J21" s="31" t="n">
        <f aca="false">E21*100</f>
        <v>5600</v>
      </c>
      <c r="K21" s="32" t="n">
        <f aca="false">I21/J21</f>
        <v>0.0101785714285714</v>
      </c>
      <c r="L21" s="4" t="s">
        <v>75</v>
      </c>
      <c r="M21" s="8" t="n">
        <v>0.02</v>
      </c>
      <c r="N21" s="30" t="n">
        <f aca="false">M21*100</f>
        <v>2</v>
      </c>
      <c r="O21" s="30" t="n">
        <f aca="false">I21-N21</f>
        <v>55</v>
      </c>
      <c r="P21" s="8" t="n">
        <v>67.1</v>
      </c>
      <c r="Q21" s="4"/>
    </row>
    <row r="22" customFormat="false" ht="15" hidden="false" customHeight="false" outlineLevel="0" collapsed="false">
      <c r="A22" s="27" t="n">
        <v>21</v>
      </c>
      <c r="B22" s="27" t="n">
        <v>13</v>
      </c>
      <c r="C22" s="4" t="s">
        <v>73</v>
      </c>
      <c r="D22" s="4" t="s">
        <v>74</v>
      </c>
      <c r="E22" s="28" t="n">
        <v>59</v>
      </c>
      <c r="F22" s="8" t="n">
        <v>67.1</v>
      </c>
      <c r="G22" s="29" t="n">
        <f aca="false">(F22-E22)/F22</f>
        <v>0.120715350223547</v>
      </c>
      <c r="H22" s="8" t="n">
        <v>0.6</v>
      </c>
      <c r="I22" s="30" t="n">
        <f aca="false">H22*100</f>
        <v>60</v>
      </c>
      <c r="J22" s="31" t="n">
        <f aca="false">E22*100</f>
        <v>5900</v>
      </c>
      <c r="K22" s="32" t="n">
        <f aca="false">I22/J22</f>
        <v>0.0101694915254237</v>
      </c>
      <c r="L22" s="4" t="s">
        <v>75</v>
      </c>
      <c r="M22" s="8" t="n">
        <v>0.44</v>
      </c>
      <c r="N22" s="30" t="n">
        <f aca="false">M22*100</f>
        <v>44</v>
      </c>
      <c r="O22" s="30" t="n">
        <f aca="false">I22-N22</f>
        <v>16</v>
      </c>
      <c r="P22" s="8" t="n">
        <v>66.69</v>
      </c>
      <c r="Q22" s="4"/>
    </row>
    <row r="23" customFormat="false" ht="15" hidden="false" customHeight="false" outlineLevel="0" collapsed="false">
      <c r="A23" s="27" t="n">
        <v>22</v>
      </c>
      <c r="B23" s="27" t="n">
        <v>13</v>
      </c>
      <c r="C23" s="4" t="s">
        <v>76</v>
      </c>
      <c r="D23" s="4" t="s">
        <v>74</v>
      </c>
      <c r="E23" s="28" t="n">
        <v>57</v>
      </c>
      <c r="F23" s="8" t="n">
        <v>63.73</v>
      </c>
      <c r="G23" s="29" t="n">
        <f aca="false">(F23-E23)/F23</f>
        <v>0.105601757414091</v>
      </c>
      <c r="H23" s="8" t="n">
        <v>0.19</v>
      </c>
      <c r="I23" s="30" t="n">
        <f aca="false">H23*100</f>
        <v>19</v>
      </c>
      <c r="J23" s="31" t="n">
        <f aca="false">E23*100</f>
        <v>5700</v>
      </c>
      <c r="K23" s="32" t="n">
        <f aca="false">I23/J23</f>
        <v>0.00333333333333333</v>
      </c>
      <c r="L23" s="4" t="s">
        <v>81</v>
      </c>
      <c r="M23" s="8" t="n">
        <v>0</v>
      </c>
      <c r="N23" s="30" t="n">
        <f aca="false">M23*100</f>
        <v>0</v>
      </c>
      <c r="O23" s="30" t="n">
        <f aca="false">I23-N23</f>
        <v>19</v>
      </c>
      <c r="P23" s="8" t="n">
        <v>66.69</v>
      </c>
      <c r="Q23" s="4"/>
    </row>
    <row r="24" customFormat="false" ht="15" hidden="false" customHeight="false" outlineLevel="0" collapsed="false">
      <c r="A24" s="27" t="n">
        <v>23</v>
      </c>
      <c r="B24" s="27" t="n">
        <v>14</v>
      </c>
      <c r="C24" s="4" t="s">
        <v>73</v>
      </c>
      <c r="D24" s="4" t="s">
        <v>74</v>
      </c>
      <c r="E24" s="28" t="n">
        <v>59.5</v>
      </c>
      <c r="F24" s="8" t="n">
        <v>66.69</v>
      </c>
      <c r="G24" s="29" t="n">
        <f aca="false">(F24-E24)/F24</f>
        <v>0.107812265707003</v>
      </c>
      <c r="H24" s="8" t="n">
        <v>0.61</v>
      </c>
      <c r="I24" s="30" t="n">
        <f aca="false">H24*100</f>
        <v>61</v>
      </c>
      <c r="J24" s="31" t="n">
        <f aca="false">E24*100</f>
        <v>5950</v>
      </c>
      <c r="K24" s="32" t="n">
        <f aca="false">I24/J24</f>
        <v>0.0102521008403361</v>
      </c>
      <c r="L24" s="4" t="s">
        <v>75</v>
      </c>
      <c r="M24" s="8" t="n">
        <v>0.13</v>
      </c>
      <c r="N24" s="30" t="n">
        <f aca="false">M24*100</f>
        <v>13</v>
      </c>
      <c r="O24" s="30" t="n">
        <f aca="false">I24-N24</f>
        <v>48</v>
      </c>
      <c r="P24" s="8" t="n">
        <v>72.47</v>
      </c>
      <c r="Q24" s="4"/>
    </row>
    <row r="25" customFormat="false" ht="15" hidden="false" customHeight="false" outlineLevel="0" collapsed="false">
      <c r="A25" s="27" t="n">
        <v>24</v>
      </c>
      <c r="B25" s="27" t="n">
        <v>14</v>
      </c>
      <c r="C25" s="4" t="s">
        <v>76</v>
      </c>
      <c r="D25" s="4" t="s">
        <v>74</v>
      </c>
      <c r="E25" s="28" t="n">
        <v>64</v>
      </c>
      <c r="F25" s="8" t="n">
        <v>69.96</v>
      </c>
      <c r="G25" s="29" t="n">
        <f aca="false">(F25-E25)/F25</f>
        <v>0.0851915380217266</v>
      </c>
      <c r="H25" s="8" t="n">
        <v>0.5</v>
      </c>
      <c r="I25" s="30" t="n">
        <f aca="false">H25*100</f>
        <v>50</v>
      </c>
      <c r="J25" s="31" t="n">
        <f aca="false">E25*100</f>
        <v>6400</v>
      </c>
      <c r="K25" s="32" t="n">
        <f aca="false">I25/J25</f>
        <v>0.0078125</v>
      </c>
      <c r="L25" s="4" t="s">
        <v>81</v>
      </c>
      <c r="M25" s="8" t="n">
        <v>0</v>
      </c>
      <c r="N25" s="30" t="n">
        <f aca="false">M25*100</f>
        <v>0</v>
      </c>
      <c r="O25" s="30" t="n">
        <f aca="false">I25-N25</f>
        <v>50</v>
      </c>
      <c r="P25" s="8" t="n">
        <v>72.47</v>
      </c>
      <c r="Q25" s="4"/>
    </row>
    <row r="26" customFormat="false" ht="15" hidden="false" customHeight="false" outlineLevel="0" collapsed="false">
      <c r="A26" s="27" t="n">
        <v>25</v>
      </c>
      <c r="B26" s="27" t="n">
        <v>15</v>
      </c>
      <c r="C26" s="4" t="s">
        <v>73</v>
      </c>
      <c r="D26" s="4" t="s">
        <v>74</v>
      </c>
      <c r="E26" s="28" t="n">
        <v>62</v>
      </c>
      <c r="F26" s="8" t="n">
        <v>72.47</v>
      </c>
      <c r="G26" s="29" t="n">
        <f aca="false">(F26-E26)/F26</f>
        <v>0.144473575272527</v>
      </c>
      <c r="H26" s="8" t="n">
        <v>0.68</v>
      </c>
      <c r="I26" s="30" t="n">
        <f aca="false">H26*100</f>
        <v>68</v>
      </c>
      <c r="J26" s="31" t="n">
        <f aca="false">E26*100</f>
        <v>6200</v>
      </c>
      <c r="K26" s="32" t="n">
        <f aca="false">I26/J26</f>
        <v>0.0109677419354839</v>
      </c>
      <c r="L26" s="4" t="s">
        <v>75</v>
      </c>
      <c r="M26" s="8" t="n">
        <v>0.01</v>
      </c>
      <c r="N26" s="30" t="n">
        <f aca="false">M26*100</f>
        <v>1</v>
      </c>
      <c r="O26" s="30" t="n">
        <f aca="false">I26-N26</f>
        <v>67</v>
      </c>
      <c r="P26" s="8" t="n">
        <v>78.18</v>
      </c>
      <c r="Q26" s="4"/>
    </row>
    <row r="27" customFormat="false" ht="15" hidden="false" customHeight="false" outlineLevel="0" collapsed="false">
      <c r="A27" s="27" t="n">
        <v>26</v>
      </c>
      <c r="B27" s="27" t="n">
        <v>15</v>
      </c>
      <c r="C27" s="4" t="s">
        <v>76</v>
      </c>
      <c r="D27" s="4" t="s">
        <v>74</v>
      </c>
      <c r="E27" s="28" t="n">
        <v>70</v>
      </c>
      <c r="F27" s="8" t="n">
        <v>74.45</v>
      </c>
      <c r="G27" s="29" t="n">
        <f aca="false">(F27-E27)/F27</f>
        <v>0.0597716588314305</v>
      </c>
      <c r="H27" s="8" t="n">
        <v>0.36</v>
      </c>
      <c r="I27" s="30" t="n">
        <f aca="false">H27*100</f>
        <v>36</v>
      </c>
      <c r="J27" s="31" t="n">
        <f aca="false">E27*100</f>
        <v>7000</v>
      </c>
      <c r="K27" s="32" t="n">
        <f aca="false">I27/J27</f>
        <v>0.00514285714285714</v>
      </c>
      <c r="L27" s="4" t="s">
        <v>81</v>
      </c>
      <c r="M27" s="8" t="n">
        <v>0</v>
      </c>
      <c r="N27" s="30" t="n">
        <f aca="false">M27*100</f>
        <v>0</v>
      </c>
      <c r="O27" s="30" t="n">
        <f aca="false">I27-N27</f>
        <v>36</v>
      </c>
      <c r="P27" s="8" t="n">
        <v>78.18</v>
      </c>
      <c r="Q27" s="4"/>
    </row>
    <row r="28" customFormat="false" ht="15" hidden="false" customHeight="false" outlineLevel="0" collapsed="false">
      <c r="A28" s="27" t="n">
        <v>27</v>
      </c>
      <c r="B28" s="27" t="n">
        <v>16</v>
      </c>
      <c r="C28" s="4" t="s">
        <v>76</v>
      </c>
      <c r="D28" s="4" t="s">
        <v>74</v>
      </c>
      <c r="E28" s="28" t="n">
        <v>75</v>
      </c>
      <c r="F28" s="8" t="n">
        <v>81.51</v>
      </c>
      <c r="G28" s="29" t="n">
        <f aca="false">(F28-E28)/F28</f>
        <v>0.0798675009201326</v>
      </c>
      <c r="H28" s="8" t="n">
        <v>0.16</v>
      </c>
      <c r="I28" s="30" t="n">
        <f aca="false">H28*100</f>
        <v>16</v>
      </c>
      <c r="J28" s="31" t="n">
        <f aca="false">E28*100</f>
        <v>7500</v>
      </c>
      <c r="K28" s="32" t="n">
        <f aca="false">I28/J28</f>
        <v>0.00213333333333333</v>
      </c>
      <c r="L28" s="4" t="s">
        <v>77</v>
      </c>
      <c r="M28" s="8" t="n">
        <v>0</v>
      </c>
      <c r="N28" s="30" t="n">
        <f aca="false">M28*100</f>
        <v>0</v>
      </c>
      <c r="O28" s="30" t="n">
        <f aca="false">I28-N28</f>
        <v>16</v>
      </c>
      <c r="P28" s="8" t="n">
        <v>71.26</v>
      </c>
      <c r="Q28" s="4" t="s">
        <v>84</v>
      </c>
    </row>
    <row r="29" customFormat="false" ht="15" hidden="false" customHeight="false" outlineLevel="0" collapsed="false">
      <c r="A29" s="27" t="n">
        <v>28</v>
      </c>
      <c r="B29" s="27" t="n">
        <v>17</v>
      </c>
      <c r="C29" s="4" t="s">
        <v>73</v>
      </c>
      <c r="D29" s="4" t="s">
        <v>79</v>
      </c>
      <c r="E29" s="28" t="n">
        <v>76</v>
      </c>
      <c r="F29" s="8" t="n">
        <v>71.26</v>
      </c>
      <c r="G29" s="29" t="n">
        <f aca="false">(E29-F29)/F29</f>
        <v>0.0665169800729721</v>
      </c>
      <c r="H29" s="8" t="n">
        <v>0.7</v>
      </c>
      <c r="I29" s="30" t="n">
        <f aca="false">H29*100</f>
        <v>70</v>
      </c>
      <c r="J29" s="31" t="s">
        <v>80</v>
      </c>
      <c r="K29" s="32" t="n">
        <f aca="false">I29/(F29*100)</f>
        <v>0.00982318271119843</v>
      </c>
      <c r="L29" s="4" t="s">
        <v>81</v>
      </c>
      <c r="M29" s="8" t="n">
        <v>0</v>
      </c>
      <c r="N29" s="30" t="n">
        <f aca="false">M29*100</f>
        <v>0</v>
      </c>
      <c r="O29" s="30" t="n">
        <f aca="false">I29-N29</f>
        <v>70</v>
      </c>
      <c r="P29" s="8" t="n">
        <v>72.04</v>
      </c>
      <c r="Q29" s="4"/>
    </row>
    <row r="30" customFormat="false" ht="15" hidden="false" customHeight="false" outlineLevel="0" collapsed="false">
      <c r="A30" s="27" t="n">
        <v>29</v>
      </c>
      <c r="B30" s="27" t="n">
        <v>18</v>
      </c>
      <c r="C30" s="4" t="s">
        <v>73</v>
      </c>
      <c r="D30" s="4" t="s">
        <v>79</v>
      </c>
      <c r="E30" s="28" t="n">
        <v>76</v>
      </c>
      <c r="F30" s="8" t="n">
        <v>72.04</v>
      </c>
      <c r="G30" s="29" t="n">
        <f aca="false">(E30-F30)/F30</f>
        <v>0.0549694614103275</v>
      </c>
      <c r="H30" s="8" t="n">
        <v>0.99</v>
      </c>
      <c r="I30" s="30" t="n">
        <f aca="false">H30*100</f>
        <v>99</v>
      </c>
      <c r="J30" s="31" t="s">
        <v>80</v>
      </c>
      <c r="K30" s="32" t="n">
        <f aca="false">I30/(F30*100)</f>
        <v>0.0137423653525819</v>
      </c>
      <c r="L30" s="4" t="s">
        <v>82</v>
      </c>
      <c r="M30" s="8" t="n">
        <v>0</v>
      </c>
      <c r="N30" s="30" t="n">
        <f aca="false">M30*100</f>
        <v>0</v>
      </c>
      <c r="O30" s="30" t="n">
        <f aca="false">I30-N30</f>
        <v>99</v>
      </c>
      <c r="P30" s="8" t="n">
        <v>76.41</v>
      </c>
      <c r="Q30" s="4" t="s">
        <v>85</v>
      </c>
    </row>
    <row r="31" customFormat="false" ht="15" hidden="false" customHeight="false" outlineLevel="0" collapsed="false">
      <c r="A31" s="27" t="n">
        <v>30</v>
      </c>
      <c r="B31" s="27" t="n">
        <v>19</v>
      </c>
      <c r="C31" s="4" t="s">
        <v>73</v>
      </c>
      <c r="D31" s="4" t="s">
        <v>74</v>
      </c>
      <c r="E31" s="28" t="n">
        <v>67</v>
      </c>
      <c r="F31" s="8" t="n">
        <v>76.41</v>
      </c>
      <c r="G31" s="29" t="n">
        <f aca="false">(F31-E31)/F31</f>
        <v>0.123151419971208</v>
      </c>
      <c r="H31" s="8" t="n">
        <v>0.65</v>
      </c>
      <c r="I31" s="30" t="n">
        <f aca="false">H31*100</f>
        <v>65</v>
      </c>
      <c r="J31" s="31" t="n">
        <f aca="false">E31*100</f>
        <v>6700</v>
      </c>
      <c r="K31" s="32" t="n">
        <f aca="false">I31/J31</f>
        <v>0.00970149253731343</v>
      </c>
      <c r="L31" s="4" t="s">
        <v>75</v>
      </c>
      <c r="M31" s="8" t="n">
        <v>0.21</v>
      </c>
      <c r="N31" s="30" t="n">
        <f aca="false">M31*100</f>
        <v>21</v>
      </c>
      <c r="O31" s="30" t="n">
        <f aca="false">I31-N31</f>
        <v>44</v>
      </c>
      <c r="P31" s="8" t="n">
        <v>83.96</v>
      </c>
      <c r="Q31" s="4"/>
    </row>
    <row r="32" customFormat="false" ht="15" hidden="false" customHeight="false" outlineLevel="0" collapsed="false">
      <c r="A32" s="27" t="n">
        <v>31</v>
      </c>
      <c r="B32" s="27" t="n">
        <v>19</v>
      </c>
      <c r="C32" s="4" t="s">
        <v>76</v>
      </c>
      <c r="D32" s="4" t="s">
        <v>74</v>
      </c>
      <c r="E32" s="28" t="n">
        <v>72</v>
      </c>
      <c r="F32" s="8" t="n">
        <v>80.44</v>
      </c>
      <c r="G32" s="29" t="n">
        <f aca="false">(F32-E32)/F32</f>
        <v>0.104922923918449</v>
      </c>
      <c r="H32" s="8" t="n">
        <v>0.61</v>
      </c>
      <c r="I32" s="30" t="n">
        <f aca="false">H32*100</f>
        <v>61</v>
      </c>
      <c r="J32" s="31" t="n">
        <f aca="false">E32*100</f>
        <v>7200</v>
      </c>
      <c r="K32" s="32" t="n">
        <f aca="false">I32/J32</f>
        <v>0.00847222222222222</v>
      </c>
      <c r="L32" s="4" t="s">
        <v>81</v>
      </c>
      <c r="M32" s="8" t="n">
        <v>0</v>
      </c>
      <c r="N32" s="30" t="n">
        <f aca="false">M32*100</f>
        <v>0</v>
      </c>
      <c r="O32" s="30" t="n">
        <f aca="false">I32-N32</f>
        <v>61</v>
      </c>
      <c r="P32" s="8" t="n">
        <v>83.96</v>
      </c>
      <c r="Q32" s="4"/>
    </row>
    <row r="33" customFormat="false" ht="15" hidden="false" customHeight="false" outlineLevel="0" collapsed="false">
      <c r="A33" s="27" t="n">
        <v>32</v>
      </c>
      <c r="B33" s="27" t="n">
        <v>20</v>
      </c>
      <c r="C33" s="4" t="s">
        <v>73</v>
      </c>
      <c r="D33" s="4" t="s">
        <v>74</v>
      </c>
      <c r="E33" s="28" t="n">
        <v>69</v>
      </c>
      <c r="F33" s="8" t="n">
        <v>83.96</v>
      </c>
      <c r="G33" s="29" t="n">
        <f aca="false">(F33-E33)/F33</f>
        <v>0.178180085755121</v>
      </c>
      <c r="H33" s="8" t="n">
        <v>1.02</v>
      </c>
      <c r="I33" s="30" t="n">
        <f aca="false">H33*100</f>
        <v>102</v>
      </c>
      <c r="J33" s="31" t="n">
        <f aca="false">E33*100</f>
        <v>6900</v>
      </c>
      <c r="K33" s="32" t="n">
        <f aca="false">I33/J33</f>
        <v>0.0147826086956522</v>
      </c>
      <c r="L33" s="4" t="s">
        <v>81</v>
      </c>
      <c r="M33" s="8" t="n">
        <v>0</v>
      </c>
      <c r="N33" s="30" t="n">
        <f aca="false">M33*100</f>
        <v>0</v>
      </c>
      <c r="O33" s="30" t="n">
        <f aca="false">I33-N33</f>
        <v>102</v>
      </c>
      <c r="P33" s="8" t="n">
        <v>75.32</v>
      </c>
      <c r="Q33" s="4"/>
    </row>
    <row r="34" customFormat="false" ht="15" hidden="false" customHeight="false" outlineLevel="0" collapsed="false">
      <c r="A34" s="27" t="n">
        <v>33</v>
      </c>
      <c r="B34" s="27" t="n">
        <v>21</v>
      </c>
      <c r="C34" s="4" t="s">
        <v>73</v>
      </c>
      <c r="D34" s="4" t="s">
        <v>74</v>
      </c>
      <c r="E34" s="28" t="n">
        <v>56</v>
      </c>
      <c r="F34" s="8" t="n">
        <v>75.32</v>
      </c>
      <c r="G34" s="29" t="n">
        <f aca="false">(F34-E34)/F34</f>
        <v>0.256505576208178</v>
      </c>
      <c r="H34" s="8" t="n">
        <v>0.66</v>
      </c>
      <c r="I34" s="30" t="n">
        <f aca="false">H34*100</f>
        <v>66</v>
      </c>
      <c r="J34" s="31" t="n">
        <f aca="false">E34*100</f>
        <v>5600</v>
      </c>
      <c r="K34" s="32" t="n">
        <f aca="false">I34/J34</f>
        <v>0.0117857142857143</v>
      </c>
      <c r="L34" s="4" t="s">
        <v>75</v>
      </c>
      <c r="M34" s="8" t="n">
        <v>0.01</v>
      </c>
      <c r="N34" s="30" t="n">
        <f aca="false">M34*100</f>
        <v>1</v>
      </c>
      <c r="O34" s="30" t="n">
        <f aca="false">I34-N34</f>
        <v>65</v>
      </c>
      <c r="P34" s="8" t="n">
        <v>74.38</v>
      </c>
      <c r="Q34" s="4"/>
    </row>
    <row r="35" customFormat="false" ht="15" hidden="false" customHeight="false" outlineLevel="0" collapsed="false">
      <c r="A35" s="27" t="n">
        <v>34</v>
      </c>
      <c r="B35" s="27" t="n">
        <v>21</v>
      </c>
      <c r="C35" s="4" t="s">
        <v>76</v>
      </c>
      <c r="D35" s="4" t="s">
        <v>74</v>
      </c>
      <c r="E35" s="28" t="n">
        <v>63</v>
      </c>
      <c r="F35" s="8" t="n">
        <v>70.79</v>
      </c>
      <c r="G35" s="29" t="n">
        <f aca="false">(F35-E35)/F35</f>
        <v>0.110043791495974</v>
      </c>
      <c r="H35" s="8" t="n">
        <v>0.17</v>
      </c>
      <c r="I35" s="30" t="n">
        <f aca="false">H35*100</f>
        <v>17</v>
      </c>
      <c r="J35" s="31" t="n">
        <f aca="false">E35*100</f>
        <v>6300</v>
      </c>
      <c r="K35" s="32" t="n">
        <f aca="false">I35/J35</f>
        <v>0.0026984126984127</v>
      </c>
      <c r="L35" s="4" t="s">
        <v>81</v>
      </c>
      <c r="M35" s="8" t="n">
        <v>0</v>
      </c>
      <c r="N35" s="30" t="n">
        <f aca="false">M35*100</f>
        <v>0</v>
      </c>
      <c r="O35" s="30" t="n">
        <f aca="false">I35-N35</f>
        <v>17</v>
      </c>
      <c r="P35" s="8" t="n">
        <v>74.38</v>
      </c>
      <c r="Q35" s="4"/>
    </row>
    <row r="36" customFormat="false" ht="15" hidden="false" customHeight="false" outlineLevel="0" collapsed="false">
      <c r="A36" s="27" t="n">
        <v>35</v>
      </c>
      <c r="B36" s="27" t="n">
        <v>22</v>
      </c>
      <c r="C36" s="4" t="s">
        <v>73</v>
      </c>
      <c r="D36" s="4" t="s">
        <v>74</v>
      </c>
      <c r="E36" s="28" t="n">
        <v>65.5</v>
      </c>
      <c r="F36" s="8" t="n">
        <v>74.38</v>
      </c>
      <c r="G36" s="29" t="n">
        <f aca="false">(F36-E36)/F36</f>
        <v>0.11938693197096</v>
      </c>
      <c r="H36" s="8" t="n">
        <v>0.64</v>
      </c>
      <c r="I36" s="30" t="n">
        <f aca="false">H36*100</f>
        <v>64</v>
      </c>
      <c r="J36" s="31" t="n">
        <f aca="false">E36*100</f>
        <v>6550</v>
      </c>
      <c r="K36" s="32" t="n">
        <f aca="false">I36/J36</f>
        <v>0.00977099236641221</v>
      </c>
      <c r="L36" s="4" t="s">
        <v>75</v>
      </c>
      <c r="M36" s="8" t="n">
        <v>0.18</v>
      </c>
      <c r="N36" s="30" t="n">
        <f aca="false">M36*100</f>
        <v>18</v>
      </c>
      <c r="O36" s="30" t="n">
        <f aca="false">I36-N36</f>
        <v>46</v>
      </c>
      <c r="P36" s="8" t="n">
        <v>89.56</v>
      </c>
      <c r="Q36" s="4"/>
    </row>
    <row r="37" customFormat="false" ht="15" hidden="false" customHeight="false" outlineLevel="0" collapsed="false">
      <c r="A37" s="27" t="n">
        <v>36</v>
      </c>
      <c r="B37" s="27" t="n">
        <v>22</v>
      </c>
      <c r="C37" s="4" t="s">
        <v>76</v>
      </c>
      <c r="D37" s="4" t="s">
        <v>74</v>
      </c>
      <c r="E37" s="28" t="n">
        <v>70.5</v>
      </c>
      <c r="F37" s="8" t="n">
        <v>80.93</v>
      </c>
      <c r="G37" s="29" t="n">
        <f aca="false">(F37-E37)/F37</f>
        <v>0.128876807117262</v>
      </c>
      <c r="H37" s="8" t="n">
        <v>0.5</v>
      </c>
      <c r="I37" s="30" t="n">
        <f aca="false">H37*100</f>
        <v>50</v>
      </c>
      <c r="J37" s="31" t="n">
        <f aca="false">E37*100</f>
        <v>7050</v>
      </c>
      <c r="K37" s="32" t="n">
        <f aca="false">I37/J37</f>
        <v>0.00709219858156028</v>
      </c>
      <c r="L37" s="4" t="s">
        <v>81</v>
      </c>
      <c r="M37" s="8" t="n">
        <v>0</v>
      </c>
      <c r="N37" s="30" t="n">
        <f aca="false">M37*100</f>
        <v>0</v>
      </c>
      <c r="O37" s="30" t="n">
        <f aca="false">I37-N37</f>
        <v>50</v>
      </c>
      <c r="P37" s="8" t="n">
        <v>89.56</v>
      </c>
      <c r="Q37" s="4"/>
    </row>
    <row r="38" customFormat="false" ht="15" hidden="false" customHeight="false" outlineLevel="0" collapsed="false">
      <c r="A38" s="27" t="n">
        <v>37</v>
      </c>
      <c r="B38" s="27" t="n">
        <v>23</v>
      </c>
      <c r="C38" s="4" t="s">
        <v>73</v>
      </c>
      <c r="D38" s="4" t="s">
        <v>74</v>
      </c>
      <c r="E38" s="28" t="n">
        <v>75</v>
      </c>
      <c r="F38" s="8" t="n">
        <v>89.56</v>
      </c>
      <c r="G38" s="29" t="n">
        <f aca="false">(F38-E38)/F38</f>
        <v>0.162572577043323</v>
      </c>
      <c r="H38" s="8" t="n">
        <v>1.11</v>
      </c>
      <c r="I38" s="30" t="n">
        <f aca="false">H38*100</f>
        <v>111</v>
      </c>
      <c r="J38" s="31" t="n">
        <f aca="false">E38*100</f>
        <v>7500</v>
      </c>
      <c r="K38" s="32" t="n">
        <f aca="false">I38/J38</f>
        <v>0.0148</v>
      </c>
      <c r="L38" s="4" t="s">
        <v>75</v>
      </c>
      <c r="M38" s="8" t="n">
        <v>0.96</v>
      </c>
      <c r="N38" s="30" t="n">
        <f aca="false">M38*100</f>
        <v>96</v>
      </c>
      <c r="O38" s="30" t="n">
        <f aca="false">I38-N38</f>
        <v>15</v>
      </c>
      <c r="P38" s="8" t="n">
        <v>78.9</v>
      </c>
      <c r="Q38" s="4"/>
    </row>
    <row r="39" customFormat="false" ht="15" hidden="false" customHeight="false" outlineLevel="0" collapsed="false">
      <c r="A39" s="27" t="n">
        <v>38</v>
      </c>
      <c r="B39" s="27" t="n">
        <v>23</v>
      </c>
      <c r="C39" s="4" t="s">
        <v>76</v>
      </c>
      <c r="D39" s="4" t="s">
        <v>74</v>
      </c>
      <c r="E39" s="28" t="n">
        <v>73.5</v>
      </c>
      <c r="F39" s="8" t="n">
        <v>85.65</v>
      </c>
      <c r="G39" s="29" t="n">
        <f aca="false">(F39-E39)/F39</f>
        <v>0.141856392294221</v>
      </c>
      <c r="H39" s="8" t="n">
        <v>0.71</v>
      </c>
      <c r="I39" s="30" t="n">
        <f aca="false">H39*100</f>
        <v>71</v>
      </c>
      <c r="J39" s="31" t="n">
        <f aca="false">E39*100</f>
        <v>7350</v>
      </c>
      <c r="K39" s="32" t="n">
        <f aca="false">I39/J39</f>
        <v>0.00965986394557823</v>
      </c>
      <c r="L39" s="4" t="s">
        <v>81</v>
      </c>
      <c r="M39" s="8" t="n">
        <v>0</v>
      </c>
      <c r="N39" s="30" t="n">
        <f aca="false">M39*100</f>
        <v>0</v>
      </c>
      <c r="O39" s="30" t="n">
        <f aca="false">I39-N39</f>
        <v>71</v>
      </c>
      <c r="P39" s="8" t="n">
        <v>78.9</v>
      </c>
      <c r="Q39" s="4"/>
    </row>
    <row r="40" customFormat="false" ht="15" hidden="false" customHeight="false" outlineLevel="0" collapsed="false">
      <c r="A40" s="27" t="n">
        <v>39</v>
      </c>
      <c r="B40" s="27" t="n">
        <v>24</v>
      </c>
      <c r="C40" s="4" t="s">
        <v>73</v>
      </c>
      <c r="D40" s="4" t="s">
        <v>74</v>
      </c>
      <c r="E40" s="28" t="n">
        <v>64</v>
      </c>
      <c r="F40" s="8" t="n">
        <v>78.9</v>
      </c>
      <c r="G40" s="29" t="n">
        <f aca="false">(F40-E40)/F40</f>
        <v>0.188846641318124</v>
      </c>
      <c r="H40" s="8" t="n">
        <v>0.91</v>
      </c>
      <c r="I40" s="30" t="n">
        <f aca="false">H40*100</f>
        <v>91</v>
      </c>
      <c r="J40" s="31" t="n">
        <f aca="false">E40*100</f>
        <v>6400</v>
      </c>
      <c r="K40" s="32" t="n">
        <f aca="false">I40/J40</f>
        <v>0.01421875</v>
      </c>
      <c r="L40" s="4" t="s">
        <v>81</v>
      </c>
      <c r="M40" s="8" t="n">
        <v>0</v>
      </c>
      <c r="N40" s="30" t="n">
        <f aca="false">M40*100</f>
        <v>0</v>
      </c>
      <c r="O40" s="30" t="n">
        <f aca="false">I40-N40</f>
        <v>91</v>
      </c>
      <c r="P40" s="8" t="n">
        <v>77.25</v>
      </c>
      <c r="Q40" s="4"/>
    </row>
    <row r="41" customFormat="false" ht="15" hidden="false" customHeight="false" outlineLevel="0" collapsed="false">
      <c r="A41" s="27" t="n">
        <v>40</v>
      </c>
      <c r="B41" s="27" t="n">
        <v>25</v>
      </c>
      <c r="C41" s="4" t="s">
        <v>73</v>
      </c>
      <c r="D41" s="4" t="s">
        <v>74</v>
      </c>
      <c r="E41" s="28" t="n">
        <v>66</v>
      </c>
      <c r="F41" s="8" t="n">
        <v>77.25</v>
      </c>
      <c r="G41" s="29" t="n">
        <f aca="false">(F41-E41)/F41</f>
        <v>0.145631067961165</v>
      </c>
      <c r="H41" s="8" t="n">
        <v>0.43</v>
      </c>
      <c r="I41" s="30" t="n">
        <f aca="false">H41*100</f>
        <v>43</v>
      </c>
      <c r="J41" s="31" t="n">
        <f aca="false">E41*100</f>
        <v>6600</v>
      </c>
      <c r="K41" s="32" t="n">
        <f aca="false">I41/J41</f>
        <v>0.00651515151515152</v>
      </c>
      <c r="L41" s="4" t="s">
        <v>81</v>
      </c>
      <c r="M41" s="8" t="n">
        <v>0</v>
      </c>
      <c r="N41" s="30" t="n">
        <f aca="false">M41*100</f>
        <v>0</v>
      </c>
      <c r="O41" s="30" t="n">
        <f aca="false">I41-N41</f>
        <v>43</v>
      </c>
      <c r="P41" s="8" t="n">
        <v>79.89</v>
      </c>
      <c r="Q41" s="4"/>
    </row>
    <row r="42" customFormat="false" ht="15" hidden="false" customHeight="false" outlineLevel="0" collapsed="false">
      <c r="A42" s="27" t="n">
        <v>41</v>
      </c>
      <c r="B42" s="27" t="n">
        <v>26</v>
      </c>
      <c r="C42" s="4" t="s">
        <v>73</v>
      </c>
      <c r="D42" s="4" t="s">
        <v>74</v>
      </c>
      <c r="E42" s="28" t="n">
        <v>65</v>
      </c>
      <c r="F42" s="8" t="n">
        <v>79.89</v>
      </c>
      <c r="G42" s="29" t="n">
        <f aca="false">(F42-E42)/F42</f>
        <v>0.186381274252097</v>
      </c>
      <c r="H42" s="8" t="n">
        <v>0.72</v>
      </c>
      <c r="I42" s="30" t="n">
        <f aca="false">H42*100</f>
        <v>72</v>
      </c>
      <c r="J42" s="31" t="n">
        <f aca="false">E42*100</f>
        <v>6500</v>
      </c>
      <c r="K42" s="32" t="n">
        <f aca="false">I42/J42</f>
        <v>0.0110769230769231</v>
      </c>
      <c r="L42" s="4" t="s">
        <v>75</v>
      </c>
      <c r="M42" s="8" t="n">
        <v>0.09</v>
      </c>
      <c r="N42" s="30" t="n">
        <f aca="false">M42*100</f>
        <v>9</v>
      </c>
      <c r="O42" s="30" t="n">
        <f aca="false">I42-N42</f>
        <v>63</v>
      </c>
      <c r="P42" s="8" t="n">
        <v>92.15</v>
      </c>
      <c r="Q42" s="4"/>
    </row>
    <row r="43" customFormat="false" ht="15" hidden="false" customHeight="false" outlineLevel="0" collapsed="false">
      <c r="A43" s="27" t="n">
        <v>42</v>
      </c>
      <c r="B43" s="27" t="n">
        <v>26</v>
      </c>
      <c r="C43" s="4" t="s">
        <v>76</v>
      </c>
      <c r="D43" s="4" t="s">
        <v>74</v>
      </c>
      <c r="E43" s="28" t="n">
        <v>70</v>
      </c>
      <c r="F43" s="8" t="n">
        <v>88.03</v>
      </c>
      <c r="G43" s="29" t="n">
        <f aca="false">(F43-E43)/F43</f>
        <v>0.204816539815972</v>
      </c>
      <c r="H43" s="8" t="n">
        <v>0.22</v>
      </c>
      <c r="I43" s="30" t="n">
        <f aca="false">H43*100</f>
        <v>22</v>
      </c>
      <c r="J43" s="31" t="n">
        <f aca="false">E43*100</f>
        <v>7000</v>
      </c>
      <c r="K43" s="32" t="n">
        <f aca="false">I43/J43</f>
        <v>0.00314285714285714</v>
      </c>
      <c r="L43" s="4" t="s">
        <v>81</v>
      </c>
      <c r="M43" s="8" t="n">
        <v>0</v>
      </c>
      <c r="N43" s="30" t="n">
        <f aca="false">M43*100</f>
        <v>0</v>
      </c>
      <c r="O43" s="30" t="n">
        <f aca="false">I43-N43</f>
        <v>22</v>
      </c>
      <c r="P43" s="8" t="n">
        <v>92.15</v>
      </c>
      <c r="Q43" s="4"/>
    </row>
    <row r="44" customFormat="false" ht="15" hidden="false" customHeight="false" outlineLevel="0" collapsed="false">
      <c r="A44" s="27" t="n">
        <v>43</v>
      </c>
      <c r="B44" s="27" t="n">
        <v>27</v>
      </c>
      <c r="C44" s="4" t="s">
        <v>73</v>
      </c>
      <c r="D44" s="4" t="s">
        <v>74</v>
      </c>
      <c r="E44" s="28" t="n">
        <v>70</v>
      </c>
      <c r="F44" s="8" t="n">
        <v>92.15</v>
      </c>
      <c r="G44" s="29" t="n">
        <f aca="false">(F44-E44)/F44</f>
        <v>0.240368963646229</v>
      </c>
      <c r="H44" s="8" t="n">
        <v>1</v>
      </c>
      <c r="I44" s="30" t="n">
        <f aca="false">H44*100</f>
        <v>100</v>
      </c>
      <c r="J44" s="31" t="n">
        <f aca="false">E44*100</f>
        <v>7000</v>
      </c>
      <c r="K44" s="32" t="n">
        <f aca="false">I44/J44</f>
        <v>0.0142857142857143</v>
      </c>
      <c r="L44" s="4" t="s">
        <v>81</v>
      </c>
      <c r="M44" s="8" t="n">
        <v>0</v>
      </c>
      <c r="N44" s="30" t="n">
        <f aca="false">M44*100</f>
        <v>0</v>
      </c>
      <c r="O44" s="30" t="n">
        <f aca="false">I44-N44</f>
        <v>100</v>
      </c>
      <c r="P44" s="8" t="n">
        <v>86.08</v>
      </c>
      <c r="Q44" s="4"/>
    </row>
    <row r="45" customFormat="false" ht="15" hidden="false" customHeight="false" outlineLevel="0" collapsed="false">
      <c r="A45" s="27" t="n">
        <v>44</v>
      </c>
      <c r="B45" s="27" t="n">
        <v>28</v>
      </c>
      <c r="C45" s="4" t="s">
        <v>73</v>
      </c>
      <c r="D45" s="4" t="s">
        <v>74</v>
      </c>
      <c r="E45" s="28" t="n">
        <v>72</v>
      </c>
      <c r="F45" s="8" t="n">
        <v>86.08</v>
      </c>
      <c r="G45" s="29" t="n">
        <f aca="false">(F45-E45)/F45</f>
        <v>0.163568773234201</v>
      </c>
      <c r="H45" s="8" t="n">
        <v>0.36</v>
      </c>
      <c r="I45" s="30" t="n">
        <f aca="false">H45*100</f>
        <v>36</v>
      </c>
      <c r="J45" s="31" t="n">
        <f aca="false">E45*100</f>
        <v>7200</v>
      </c>
      <c r="K45" s="32" t="n">
        <f aca="false">I45/J45</f>
        <v>0.005</v>
      </c>
      <c r="L45" s="4" t="s">
        <v>81</v>
      </c>
      <c r="M45" s="8" t="n">
        <v>0</v>
      </c>
      <c r="N45" s="30" t="n">
        <f aca="false">M45*100</f>
        <v>0</v>
      </c>
      <c r="O45" s="30" t="n">
        <f aca="false">I45-N45</f>
        <v>36</v>
      </c>
      <c r="P45" s="8" t="n">
        <v>84.37</v>
      </c>
      <c r="Q45" s="4"/>
    </row>
    <row r="46" customFormat="false" ht="15" hidden="false" customHeight="false" outlineLevel="0" collapsed="false">
      <c r="A46" s="27" t="n">
        <v>45</v>
      </c>
      <c r="B46" s="27" t="n">
        <v>29</v>
      </c>
      <c r="C46" s="4" t="s">
        <v>73</v>
      </c>
      <c r="D46" s="4" t="s">
        <v>74</v>
      </c>
      <c r="E46" s="28" t="n">
        <v>71</v>
      </c>
      <c r="F46" s="8" t="n">
        <v>84.37</v>
      </c>
      <c r="G46" s="29" t="n">
        <f aca="false">(F46-E46)/F46</f>
        <v>0.158468649994074</v>
      </c>
      <c r="H46" s="8" t="n">
        <v>0.7</v>
      </c>
      <c r="I46" s="30" t="n">
        <f aca="false">H46*100</f>
        <v>70</v>
      </c>
      <c r="J46" s="31" t="n">
        <f aca="false">E46*100</f>
        <v>7100</v>
      </c>
      <c r="K46" s="32" t="n">
        <f aca="false">I46/J46</f>
        <v>0.00985915492957747</v>
      </c>
      <c r="L46" s="4" t="s">
        <v>75</v>
      </c>
      <c r="M46" s="8" t="n">
        <v>0.02</v>
      </c>
      <c r="N46" s="30" t="n">
        <f aca="false">M46*100</f>
        <v>2</v>
      </c>
      <c r="O46" s="30" t="n">
        <f aca="false">I46-N46</f>
        <v>68</v>
      </c>
      <c r="P46" s="8" t="n">
        <v>81.71</v>
      </c>
      <c r="Q46" s="4"/>
    </row>
    <row r="47" customFormat="false" ht="15" hidden="false" customHeight="false" outlineLevel="0" collapsed="false">
      <c r="A47" s="27" t="n">
        <v>46</v>
      </c>
      <c r="B47" s="27" t="n">
        <v>29</v>
      </c>
      <c r="C47" s="4" t="s">
        <v>76</v>
      </c>
      <c r="D47" s="4" t="s">
        <v>74</v>
      </c>
      <c r="E47" s="28" t="n">
        <v>77</v>
      </c>
      <c r="F47" s="8" t="n">
        <v>84.31</v>
      </c>
      <c r="G47" s="29" t="n">
        <f aca="false">(F47-E47)/F47</f>
        <v>0.0867038310995137</v>
      </c>
      <c r="H47" s="8" t="n">
        <v>0.17</v>
      </c>
      <c r="I47" s="30" t="n">
        <f aca="false">H47*100</f>
        <v>17</v>
      </c>
      <c r="J47" s="31" t="n">
        <f aca="false">E47*100</f>
        <v>7700</v>
      </c>
      <c r="K47" s="32" t="n">
        <f aca="false">I47/J47</f>
        <v>0.00220779220779221</v>
      </c>
      <c r="L47" s="4" t="s">
        <v>81</v>
      </c>
      <c r="M47" s="8" t="n">
        <v>0</v>
      </c>
      <c r="N47" s="30" t="n">
        <f aca="false">M47*100</f>
        <v>0</v>
      </c>
      <c r="O47" s="30" t="n">
        <f aca="false">I47-N47</f>
        <v>17</v>
      </c>
      <c r="P47" s="8" t="n">
        <v>81.71</v>
      </c>
      <c r="Q47" s="4"/>
    </row>
    <row r="48" customFormat="false" ht="15" hidden="false" customHeight="false" outlineLevel="0" collapsed="false">
      <c r="A48" s="27" t="n">
        <v>47</v>
      </c>
      <c r="B48" s="27" t="n">
        <v>30</v>
      </c>
      <c r="C48" s="4" t="s">
        <v>73</v>
      </c>
      <c r="D48" s="4" t="s">
        <v>74</v>
      </c>
      <c r="E48" s="28" t="n">
        <v>69</v>
      </c>
      <c r="F48" s="8" t="n">
        <v>81.71</v>
      </c>
      <c r="G48" s="29" t="n">
        <f aca="false">(F48-E48)/F48</f>
        <v>0.155550116264839</v>
      </c>
      <c r="H48" s="8" t="n">
        <v>0.46</v>
      </c>
      <c r="I48" s="30" t="n">
        <f aca="false">H48*100</f>
        <v>46</v>
      </c>
      <c r="J48" s="31" t="n">
        <f aca="false">E48*100</f>
        <v>6900</v>
      </c>
      <c r="K48" s="32" t="n">
        <f aca="false">I48/J48</f>
        <v>0.00666666666666667</v>
      </c>
      <c r="L48" s="4" t="s">
        <v>75</v>
      </c>
      <c r="M48" s="8" t="n">
        <v>0.01</v>
      </c>
      <c r="N48" s="30" t="n">
        <f aca="false">M48*100</f>
        <v>1</v>
      </c>
      <c r="O48" s="30" t="n">
        <f aca="false">I48-N48</f>
        <v>45</v>
      </c>
      <c r="P48" s="8" t="n">
        <v>81.16</v>
      </c>
      <c r="Q48" s="4"/>
    </row>
    <row r="49" customFormat="false" ht="15" hidden="false" customHeight="false" outlineLevel="0" collapsed="false">
      <c r="A49" s="27" t="n">
        <v>48</v>
      </c>
      <c r="B49" s="27" t="n">
        <v>30</v>
      </c>
      <c r="C49" s="4" t="s">
        <v>76</v>
      </c>
      <c r="D49" s="4" t="s">
        <v>74</v>
      </c>
      <c r="E49" s="28" t="n">
        <v>74</v>
      </c>
      <c r="F49" s="8" t="n">
        <v>82.34</v>
      </c>
      <c r="G49" s="29" t="n">
        <f aca="false">(F49-E49)/F49</f>
        <v>0.101287345154239</v>
      </c>
      <c r="H49" s="8" t="n">
        <v>0.1</v>
      </c>
      <c r="I49" s="30" t="n">
        <f aca="false">H49*100</f>
        <v>10</v>
      </c>
      <c r="J49" s="31" t="n">
        <f aca="false">E49*100</f>
        <v>7400</v>
      </c>
      <c r="K49" s="32" t="n">
        <f aca="false">I49/J49</f>
        <v>0.00135135135135135</v>
      </c>
      <c r="L49" s="4" t="s">
        <v>81</v>
      </c>
      <c r="M49" s="8" t="n">
        <v>0</v>
      </c>
      <c r="N49" s="30" t="n">
        <f aca="false">M49*100</f>
        <v>0</v>
      </c>
      <c r="O49" s="30" t="n">
        <f aca="false">I49-N49</f>
        <v>10</v>
      </c>
      <c r="P49" s="8" t="n">
        <v>81.16</v>
      </c>
      <c r="Q49" s="4"/>
    </row>
    <row r="50" customFormat="false" ht="15" hidden="false" customHeight="false" outlineLevel="0" collapsed="false">
      <c r="A50" s="27" t="n">
        <v>49</v>
      </c>
      <c r="B50" s="27" t="n">
        <v>31</v>
      </c>
      <c r="C50" s="4" t="s">
        <v>73</v>
      </c>
      <c r="D50" s="4" t="s">
        <v>74</v>
      </c>
      <c r="E50" s="28" t="n">
        <v>73</v>
      </c>
      <c r="F50" s="8" t="n">
        <v>81.16</v>
      </c>
      <c r="G50" s="29" t="n">
        <f aca="false">(F50-E50)/F50</f>
        <v>0.100542138984722</v>
      </c>
      <c r="H50" s="8" t="n">
        <v>0.72</v>
      </c>
      <c r="I50" s="30" t="n">
        <f aca="false">H50*100</f>
        <v>72</v>
      </c>
      <c r="J50" s="31" t="n">
        <f aca="false">E50*100</f>
        <v>7300</v>
      </c>
      <c r="K50" s="32" t="n">
        <f aca="false">I50/J50</f>
        <v>0.00986301369863014</v>
      </c>
      <c r="L50" s="4" t="s">
        <v>75</v>
      </c>
      <c r="M50" s="8" t="n">
        <v>1.42</v>
      </c>
      <c r="N50" s="30" t="n">
        <f aca="false">M50*100</f>
        <v>142</v>
      </c>
      <c r="O50" s="30" t="n">
        <f aca="false">I50-N50</f>
        <v>-70</v>
      </c>
      <c r="P50" s="8" t="n">
        <v>69.78</v>
      </c>
      <c r="Q50" s="4"/>
    </row>
    <row r="51" customFormat="false" ht="15" hidden="false" customHeight="false" outlineLevel="0" collapsed="false">
      <c r="A51" s="27" t="n">
        <v>50</v>
      </c>
      <c r="B51" s="27" t="n">
        <v>31</v>
      </c>
      <c r="C51" s="4" t="s">
        <v>76</v>
      </c>
      <c r="D51" s="4" t="s">
        <v>74</v>
      </c>
      <c r="E51" s="28" t="n">
        <v>71</v>
      </c>
      <c r="F51" s="8" t="n">
        <v>75.71</v>
      </c>
      <c r="G51" s="29" t="n">
        <f aca="false">(F51-E51)/F51</f>
        <v>0.06221106855105</v>
      </c>
      <c r="H51" s="8" t="n">
        <v>0.83</v>
      </c>
      <c r="I51" s="30" t="n">
        <f aca="false">H51*100</f>
        <v>83</v>
      </c>
      <c r="J51" s="31" t="n">
        <f aca="false">E51*100</f>
        <v>7100</v>
      </c>
      <c r="K51" s="32" t="n">
        <f aca="false">I51/J51</f>
        <v>0.0116901408450704</v>
      </c>
      <c r="L51" s="4" t="s">
        <v>77</v>
      </c>
      <c r="M51" s="8" t="n">
        <v>0</v>
      </c>
      <c r="N51" s="30" t="n">
        <f aca="false">M51*100</f>
        <v>0</v>
      </c>
      <c r="O51" s="30" t="n">
        <f aca="false">I51-N51</f>
        <v>83</v>
      </c>
      <c r="P51" s="8" t="n">
        <v>69.78</v>
      </c>
      <c r="Q51" s="4" t="s">
        <v>86</v>
      </c>
    </row>
    <row r="52" customFormat="false" ht="15" hidden="false" customHeight="false" outlineLevel="0" collapsed="false">
      <c r="A52" s="27" t="n">
        <v>51</v>
      </c>
      <c r="B52" s="27" t="n">
        <v>32</v>
      </c>
      <c r="C52" s="4" t="s">
        <v>73</v>
      </c>
      <c r="D52" s="4" t="s">
        <v>79</v>
      </c>
      <c r="E52" s="28" t="n">
        <v>75</v>
      </c>
      <c r="F52" s="8" t="n">
        <v>69.78</v>
      </c>
      <c r="G52" s="29" t="n">
        <f aca="false">(E52-F52)/F52</f>
        <v>0.0748065348237317</v>
      </c>
      <c r="H52" s="8" t="n">
        <v>1.74</v>
      </c>
      <c r="I52" s="30" t="n">
        <f aca="false">H52*100</f>
        <v>174</v>
      </c>
      <c r="J52" s="31" t="s">
        <v>80</v>
      </c>
      <c r="K52" s="32" t="n">
        <f aca="false">I52/(F52*100)</f>
        <v>0.0249355116079106</v>
      </c>
      <c r="L52" s="4" t="s">
        <v>75</v>
      </c>
      <c r="M52" s="8" t="n">
        <v>0.83</v>
      </c>
      <c r="N52" s="30" t="n">
        <f aca="false">M52*100</f>
        <v>83</v>
      </c>
      <c r="O52" s="30" t="n">
        <f aca="false">I52-N52</f>
        <v>91</v>
      </c>
      <c r="P52" s="8" t="n">
        <v>64.06</v>
      </c>
      <c r="Q52" s="4"/>
    </row>
    <row r="53" customFormat="false" ht="15" hidden="false" customHeight="false" outlineLevel="0" collapsed="false">
      <c r="A53" s="27" t="n">
        <v>52</v>
      </c>
      <c r="B53" s="27" t="n">
        <v>32</v>
      </c>
      <c r="C53" s="4" t="s">
        <v>76</v>
      </c>
      <c r="D53" s="4" t="s">
        <v>79</v>
      </c>
      <c r="E53" s="28" t="n">
        <v>73</v>
      </c>
      <c r="F53" s="8" t="n">
        <v>68.44</v>
      </c>
      <c r="G53" s="29" t="n">
        <f aca="false">(E53-F53)/F53</f>
        <v>0.0666277030976038</v>
      </c>
      <c r="H53" s="8" t="n">
        <v>1.31</v>
      </c>
      <c r="I53" s="30" t="n">
        <f aca="false">H53*100</f>
        <v>131</v>
      </c>
      <c r="J53" s="31" t="s">
        <v>80</v>
      </c>
      <c r="K53" s="32" t="n">
        <f aca="false">I53/(F53*100)</f>
        <v>0.0191408533021625</v>
      </c>
      <c r="L53" s="4" t="s">
        <v>81</v>
      </c>
      <c r="M53" s="8" t="n">
        <v>0</v>
      </c>
      <c r="N53" s="30" t="n">
        <f aca="false">M53*100</f>
        <v>0</v>
      </c>
      <c r="O53" s="30" t="n">
        <f aca="false">I53-N53</f>
        <v>131</v>
      </c>
      <c r="P53" s="8" t="n">
        <v>64.06</v>
      </c>
      <c r="Q53" s="4"/>
    </row>
    <row r="54" customFormat="false" ht="15" hidden="false" customHeight="false" outlineLevel="0" collapsed="false">
      <c r="A54" s="27" t="n">
        <v>53</v>
      </c>
      <c r="B54" s="27" t="n">
        <v>33</v>
      </c>
      <c r="C54" s="4" t="s">
        <v>73</v>
      </c>
      <c r="D54" s="4" t="s">
        <v>79</v>
      </c>
      <c r="E54" s="28" t="n">
        <v>70</v>
      </c>
      <c r="F54" s="8" t="n">
        <v>64.06</v>
      </c>
      <c r="G54" s="29" t="n">
        <f aca="false">(E54-F54)/F54</f>
        <v>0.0927255697783328</v>
      </c>
      <c r="H54" s="8" t="n">
        <v>1.85</v>
      </c>
      <c r="I54" s="30" t="n">
        <f aca="false">H54*100</f>
        <v>185</v>
      </c>
      <c r="J54" s="31" t="s">
        <v>80</v>
      </c>
      <c r="K54" s="32" t="n">
        <f aca="false">I54/(F54*100)</f>
        <v>0.0288791757727131</v>
      </c>
      <c r="L54" s="4" t="s">
        <v>75</v>
      </c>
      <c r="M54" s="8" t="n">
        <v>4.65</v>
      </c>
      <c r="N54" s="30" t="n">
        <f aca="false">M54*100</f>
        <v>465</v>
      </c>
      <c r="O54" s="30" t="n">
        <f aca="false">I54-N54</f>
        <v>-280</v>
      </c>
      <c r="P54" s="8" t="n">
        <v>77.86</v>
      </c>
      <c r="Q54" s="4"/>
    </row>
    <row r="55" customFormat="false" ht="15" hidden="false" customHeight="false" outlineLevel="0" collapsed="false">
      <c r="A55" s="27" t="n">
        <v>54</v>
      </c>
      <c r="B55" s="27" t="n">
        <v>33</v>
      </c>
      <c r="C55" s="4" t="s">
        <v>76</v>
      </c>
      <c r="D55" s="4" t="s">
        <v>79</v>
      </c>
      <c r="E55" s="28" t="n">
        <v>74</v>
      </c>
      <c r="F55" s="8" t="n">
        <v>73.46</v>
      </c>
      <c r="G55" s="29" t="n">
        <f aca="false">(E55-F55)/F55</f>
        <v>0.00735093928668672</v>
      </c>
      <c r="H55" s="8" t="n">
        <v>2</v>
      </c>
      <c r="I55" s="30" t="n">
        <f aca="false">H55*100</f>
        <v>200</v>
      </c>
      <c r="J55" s="31" t="s">
        <v>80</v>
      </c>
      <c r="K55" s="32" t="n">
        <f aca="false">I55/(F55*100)</f>
        <v>0.0272257010618023</v>
      </c>
      <c r="L55" s="4" t="s">
        <v>82</v>
      </c>
      <c r="M55" s="8" t="n">
        <v>0</v>
      </c>
      <c r="N55" s="30" t="n">
        <f aca="false">M55*100</f>
        <v>0</v>
      </c>
      <c r="O55" s="30" t="n">
        <f aca="false">I55-N55</f>
        <v>200</v>
      </c>
      <c r="P55" s="8" t="n">
        <v>77.86</v>
      </c>
      <c r="Q55" s="4" t="s">
        <v>87</v>
      </c>
    </row>
    <row r="56" customFormat="false" ht="15" hidden="false" customHeight="false" outlineLevel="0" collapsed="false">
      <c r="A56" s="27" t="n">
        <v>55</v>
      </c>
      <c r="B56" s="27" t="n">
        <v>34</v>
      </c>
      <c r="C56" s="4" t="s">
        <v>73</v>
      </c>
      <c r="D56" s="4" t="s">
        <v>74</v>
      </c>
      <c r="E56" s="28" t="n">
        <v>65</v>
      </c>
      <c r="F56" s="8" t="n">
        <v>77.86</v>
      </c>
      <c r="G56" s="29" t="n">
        <f aca="false">(F56-E56)/F56</f>
        <v>0.165168250706396</v>
      </c>
      <c r="H56" s="8" t="n">
        <v>0.65</v>
      </c>
      <c r="I56" s="30" t="n">
        <f aca="false">H56*100</f>
        <v>65</v>
      </c>
      <c r="J56" s="31" t="n">
        <f aca="false">E56*100</f>
        <v>6500</v>
      </c>
      <c r="K56" s="32" t="n">
        <f aca="false">I56/J56</f>
        <v>0.01</v>
      </c>
      <c r="L56" s="4" t="s">
        <v>75</v>
      </c>
      <c r="M56" s="8" t="n">
        <v>0.03</v>
      </c>
      <c r="N56" s="30" t="n">
        <f aca="false">M56*100</f>
        <v>3</v>
      </c>
      <c r="O56" s="30" t="n">
        <f aca="false">I56-N56</f>
        <v>62</v>
      </c>
      <c r="P56" s="8" t="n">
        <v>76.24</v>
      </c>
      <c r="Q56" s="4"/>
    </row>
    <row r="57" customFormat="false" ht="15" hidden="false" customHeight="false" outlineLevel="0" collapsed="false">
      <c r="A57" s="27" t="n">
        <v>56</v>
      </c>
      <c r="B57" s="27" t="n">
        <v>34</v>
      </c>
      <c r="C57" s="4" t="s">
        <v>76</v>
      </c>
      <c r="D57" s="4" t="s">
        <v>74</v>
      </c>
      <c r="E57" s="28" t="n">
        <v>72</v>
      </c>
      <c r="F57" s="8" t="n">
        <v>78.78</v>
      </c>
      <c r="G57" s="29" t="n">
        <f aca="false">(F57-E57)/F57</f>
        <v>0.0860624523990861</v>
      </c>
      <c r="H57" s="8" t="n">
        <v>0.31</v>
      </c>
      <c r="I57" s="30" t="n">
        <f aca="false">H57*100</f>
        <v>31</v>
      </c>
      <c r="J57" s="31" t="n">
        <f aca="false">E57*100</f>
        <v>7200</v>
      </c>
      <c r="K57" s="32" t="n">
        <f aca="false">I57/J57</f>
        <v>0.00430555555555556</v>
      </c>
      <c r="L57" s="4" t="s">
        <v>81</v>
      </c>
      <c r="M57" s="8" t="n">
        <v>0</v>
      </c>
      <c r="N57" s="30" t="n">
        <f aca="false">M57*100</f>
        <v>0</v>
      </c>
      <c r="O57" s="30" t="n">
        <f aca="false">I57-N57</f>
        <v>31</v>
      </c>
      <c r="P57" s="8" t="n">
        <v>76.24</v>
      </c>
      <c r="Q57" s="4"/>
    </row>
    <row r="58" customFormat="false" ht="15" hidden="false" customHeight="false" outlineLevel="0" collapsed="false">
      <c r="A58" s="27" t="n">
        <v>57</v>
      </c>
      <c r="B58" s="27" t="n">
        <v>35</v>
      </c>
      <c r="C58" s="4" t="s">
        <v>73</v>
      </c>
      <c r="D58" s="4" t="s">
        <v>74</v>
      </c>
      <c r="E58" s="28" t="n">
        <v>67</v>
      </c>
      <c r="F58" s="8" t="n">
        <v>76.24</v>
      </c>
      <c r="G58" s="29" t="n">
        <f aca="false">(F58-E58)/F58</f>
        <v>0.121196222455404</v>
      </c>
      <c r="H58" s="8" t="n">
        <v>0.66</v>
      </c>
      <c r="I58" s="30" t="n">
        <f aca="false">H58*100</f>
        <v>66</v>
      </c>
      <c r="J58" s="31" t="n">
        <f aca="false">E58*100</f>
        <v>6700</v>
      </c>
      <c r="K58" s="32" t="n">
        <f aca="false">I58/J58</f>
        <v>0.00985074626865672</v>
      </c>
      <c r="L58" s="4" t="s">
        <v>75</v>
      </c>
      <c r="M58" s="8" t="n">
        <v>1.7</v>
      </c>
      <c r="N58" s="30" t="n">
        <f aca="false">M58*100</f>
        <v>170</v>
      </c>
      <c r="O58" s="30" t="n">
        <f aca="false">I58-N58</f>
        <v>-104</v>
      </c>
      <c r="P58" s="8" t="n">
        <v>64.94</v>
      </c>
      <c r="Q58" s="4"/>
    </row>
    <row r="59" customFormat="false" ht="15" hidden="false" customHeight="false" outlineLevel="0" collapsed="false">
      <c r="A59" s="27" t="n">
        <v>58</v>
      </c>
      <c r="B59" s="27" t="n">
        <v>35</v>
      </c>
      <c r="C59" s="4" t="s">
        <v>76</v>
      </c>
      <c r="D59" s="4" t="s">
        <v>74</v>
      </c>
      <c r="E59" s="28" t="n">
        <v>65</v>
      </c>
      <c r="F59" s="8" t="n">
        <v>69.34</v>
      </c>
      <c r="G59" s="29" t="n">
        <f aca="false">(F59-E59)/F59</f>
        <v>0.0625901355638881</v>
      </c>
      <c r="H59" s="8" t="n">
        <v>1.05</v>
      </c>
      <c r="I59" s="30" t="n">
        <f aca="false">H59*100</f>
        <v>105</v>
      </c>
      <c r="J59" s="31" t="n">
        <f aca="false">E59*100</f>
        <v>6500</v>
      </c>
      <c r="K59" s="32" t="n">
        <f aca="false">I59/J59</f>
        <v>0.0161538461538462</v>
      </c>
      <c r="L59" s="4" t="s">
        <v>77</v>
      </c>
      <c r="M59" s="8" t="n">
        <v>0</v>
      </c>
      <c r="N59" s="30" t="n">
        <f aca="false">M59*100</f>
        <v>0</v>
      </c>
      <c r="O59" s="30" t="n">
        <f aca="false">I59-N59</f>
        <v>105</v>
      </c>
      <c r="P59" s="8" t="n">
        <v>64.94</v>
      </c>
      <c r="Q59" s="4" t="s">
        <v>88</v>
      </c>
    </row>
    <row r="60" customFormat="false" ht="15" hidden="false" customHeight="false" outlineLevel="0" collapsed="false">
      <c r="A60" s="27" t="n">
        <v>59</v>
      </c>
      <c r="B60" s="27" t="n">
        <v>36</v>
      </c>
      <c r="C60" s="4" t="s">
        <v>73</v>
      </c>
      <c r="D60" s="4" t="s">
        <v>79</v>
      </c>
      <c r="E60" s="28" t="n">
        <v>69</v>
      </c>
      <c r="F60" s="8" t="n">
        <v>64.94</v>
      </c>
      <c r="G60" s="29" t="n">
        <f aca="false">(E60-F60)/F60</f>
        <v>0.0625192485371112</v>
      </c>
      <c r="H60" s="8" t="n">
        <v>1.83</v>
      </c>
      <c r="I60" s="30" t="n">
        <f aca="false">H60*100</f>
        <v>183</v>
      </c>
      <c r="J60" s="31" t="s">
        <v>80</v>
      </c>
      <c r="K60" s="32" t="n">
        <f aca="false">I60/(F60*100)</f>
        <v>0.0281798583307669</v>
      </c>
      <c r="L60" s="4" t="s">
        <v>81</v>
      </c>
      <c r="M60" s="8" t="n">
        <v>0</v>
      </c>
      <c r="N60" s="30" t="n">
        <f aca="false">M60*100</f>
        <v>0</v>
      </c>
      <c r="O60" s="30" t="n">
        <f aca="false">I60-N60</f>
        <v>183</v>
      </c>
      <c r="P60" s="8" t="n">
        <v>64.33</v>
      </c>
      <c r="Q60" s="4"/>
    </row>
    <row r="61" customFormat="false" ht="15" hidden="false" customHeight="false" outlineLevel="0" collapsed="false">
      <c r="A61" s="27" t="n">
        <v>60</v>
      </c>
      <c r="B61" s="27" t="n">
        <v>37</v>
      </c>
      <c r="C61" s="4" t="s">
        <v>73</v>
      </c>
      <c r="D61" s="4" t="s">
        <v>74</v>
      </c>
      <c r="E61" s="28" t="n">
        <v>37.5</v>
      </c>
      <c r="F61" s="8" t="n">
        <v>64.33</v>
      </c>
      <c r="G61" s="29" t="n">
        <f aca="false">(F61-E61)/F61</f>
        <v>0.417068241877818</v>
      </c>
      <c r="H61" s="8" t="n">
        <v>0.1</v>
      </c>
      <c r="I61" s="30" t="n">
        <f aca="false">H61*100</f>
        <v>10</v>
      </c>
      <c r="J61" s="31" t="n">
        <f aca="false">E61*100</f>
        <v>3750</v>
      </c>
      <c r="K61" s="32" t="n">
        <f aca="false">I61/J61</f>
        <v>0.00266666666666667</v>
      </c>
      <c r="L61" s="4" t="s">
        <v>75</v>
      </c>
      <c r="M61" s="8" t="n">
        <v>0.01</v>
      </c>
      <c r="N61" s="30" t="n">
        <f aca="false">M61*100</f>
        <v>1</v>
      </c>
      <c r="O61" s="30" t="n">
        <f aca="false">I61-N61</f>
        <v>9</v>
      </c>
      <c r="P61" s="8" t="n">
        <v>64.64</v>
      </c>
      <c r="Q61" s="4"/>
    </row>
    <row r="62" customFormat="false" ht="15" hidden="false" customHeight="false" outlineLevel="0" collapsed="false">
      <c r="A62" s="27" t="n">
        <v>61</v>
      </c>
      <c r="B62" s="27" t="n">
        <v>37</v>
      </c>
      <c r="C62" s="4" t="s">
        <v>73</v>
      </c>
      <c r="D62" s="4" t="s">
        <v>79</v>
      </c>
      <c r="E62" s="28" t="n">
        <v>70</v>
      </c>
      <c r="F62" s="8" t="n">
        <v>64.33</v>
      </c>
      <c r="G62" s="29" t="n">
        <f aca="false">(E62-F62)/F62</f>
        <v>0.088139281828074</v>
      </c>
      <c r="H62" s="8" t="n">
        <v>1.98</v>
      </c>
      <c r="I62" s="30" t="n">
        <f aca="false">H62*100</f>
        <v>198</v>
      </c>
      <c r="J62" s="31" t="s">
        <v>80</v>
      </c>
      <c r="K62" s="32" t="n">
        <f aca="false">I62/(F62*100)</f>
        <v>0.0307787968288512</v>
      </c>
      <c r="L62" s="4" t="s">
        <v>81</v>
      </c>
      <c r="M62" s="8" t="n">
        <v>0</v>
      </c>
      <c r="N62" s="30" t="n">
        <f aca="false">M62*100</f>
        <v>0</v>
      </c>
      <c r="O62" s="30" t="n">
        <f aca="false">I62-N62</f>
        <v>198</v>
      </c>
      <c r="P62" s="8" t="n">
        <v>64.64</v>
      </c>
      <c r="Q62" s="4"/>
    </row>
    <row r="63" customFormat="false" ht="15" hidden="false" customHeight="false" outlineLevel="0" collapsed="false">
      <c r="A63" s="27" t="n">
        <v>62</v>
      </c>
      <c r="B63" s="27" t="n">
        <v>38</v>
      </c>
      <c r="C63" s="4" t="s">
        <v>73</v>
      </c>
      <c r="D63" s="4" t="s">
        <v>79</v>
      </c>
      <c r="E63" s="28" t="n">
        <v>69</v>
      </c>
      <c r="F63" s="8" t="n">
        <v>64.64</v>
      </c>
      <c r="G63" s="29" t="n">
        <f aca="false">(E63-F63)/F63</f>
        <v>0.0674504950495049</v>
      </c>
      <c r="H63" s="8" t="n">
        <v>0.96</v>
      </c>
      <c r="I63" s="30" t="n">
        <f aca="false">H63*100</f>
        <v>96</v>
      </c>
      <c r="J63" s="31" t="s">
        <v>80</v>
      </c>
      <c r="K63" s="32" t="n">
        <f aca="false">I63/(F63*100)</f>
        <v>0.0148514851485149</v>
      </c>
      <c r="L63" s="4" t="s">
        <v>82</v>
      </c>
      <c r="M63" s="8" t="n">
        <v>0</v>
      </c>
      <c r="N63" s="30" t="n">
        <f aca="false">M63*100</f>
        <v>0</v>
      </c>
      <c r="O63" s="30" t="n">
        <f aca="false">I63-N63</f>
        <v>96</v>
      </c>
      <c r="P63" s="8" t="n">
        <v>69.33</v>
      </c>
      <c r="Q63" s="4" t="s">
        <v>89</v>
      </c>
    </row>
    <row r="64" customFormat="false" ht="15" hidden="false" customHeight="false" outlineLevel="0" collapsed="false">
      <c r="A64" s="27" t="n">
        <v>63</v>
      </c>
      <c r="B64" s="27" t="n">
        <v>39</v>
      </c>
      <c r="C64" s="4" t="s">
        <v>73</v>
      </c>
      <c r="D64" s="4" t="s">
        <v>74</v>
      </c>
      <c r="E64" s="28" t="n">
        <v>61.5</v>
      </c>
      <c r="F64" s="8" t="n">
        <v>69.33</v>
      </c>
      <c r="G64" s="29" t="n">
        <f aca="false">(F64-E64)/F64</f>
        <v>0.112938122025097</v>
      </c>
      <c r="H64" s="8" t="n">
        <v>0.59</v>
      </c>
      <c r="I64" s="30" t="n">
        <f aca="false">H64*100</f>
        <v>59</v>
      </c>
      <c r="J64" s="31" t="n">
        <f aca="false">E64*100</f>
        <v>6150</v>
      </c>
      <c r="K64" s="32" t="n">
        <f aca="false">I64/J64</f>
        <v>0.00959349593495935</v>
      </c>
      <c r="L64" s="4" t="s">
        <v>75</v>
      </c>
      <c r="M64" s="8" t="n">
        <v>0.17</v>
      </c>
      <c r="N64" s="30" t="n">
        <f aca="false">M64*100</f>
        <v>17</v>
      </c>
      <c r="O64" s="30" t="n">
        <f aca="false">I64-N64</f>
        <v>42</v>
      </c>
      <c r="P64" s="8" t="n">
        <v>65.75</v>
      </c>
      <c r="Q64" s="4"/>
    </row>
    <row r="65" customFormat="false" ht="15" hidden="false" customHeight="false" outlineLevel="0" collapsed="false">
      <c r="A65" s="27" t="n">
        <v>64</v>
      </c>
      <c r="B65" s="27" t="n">
        <v>40</v>
      </c>
      <c r="C65" s="4" t="s">
        <v>76</v>
      </c>
      <c r="D65" s="4" t="s">
        <v>74</v>
      </c>
      <c r="E65" s="28" t="n">
        <v>55</v>
      </c>
      <c r="F65" s="8" t="n">
        <v>60.32</v>
      </c>
      <c r="G65" s="29" t="n">
        <f aca="false">(F65-E65)/F65</f>
        <v>0.0881962864721485</v>
      </c>
      <c r="H65" s="8" t="n">
        <v>0.43</v>
      </c>
      <c r="I65" s="30" t="n">
        <f aca="false">H65*100</f>
        <v>43</v>
      </c>
      <c r="J65" s="31" t="n">
        <f aca="false">E65*100</f>
        <v>5500</v>
      </c>
      <c r="K65" s="32" t="n">
        <f aca="false">I65/J65</f>
        <v>0.00781818181818182</v>
      </c>
      <c r="L65" s="4" t="s">
        <v>81</v>
      </c>
      <c r="M65" s="8" t="n">
        <v>0</v>
      </c>
      <c r="N65" s="30" t="n">
        <f aca="false">M65*100</f>
        <v>0</v>
      </c>
      <c r="O65" s="30" t="n">
        <f aca="false">I65-N65</f>
        <v>43</v>
      </c>
      <c r="P65" s="8" t="n">
        <v>62.64</v>
      </c>
      <c r="Q65" s="4"/>
    </row>
    <row r="66" customFormat="false" ht="15" hidden="false" customHeight="false" outlineLevel="0" collapsed="false">
      <c r="A66" s="27" t="n">
        <v>65</v>
      </c>
      <c r="B66" s="27" t="n">
        <v>41</v>
      </c>
      <c r="C66" s="4" t="s">
        <v>73</v>
      </c>
      <c r="D66" s="4" t="s">
        <v>74</v>
      </c>
      <c r="E66" s="28" t="n">
        <v>57</v>
      </c>
      <c r="F66" s="8" t="n">
        <v>62.64</v>
      </c>
      <c r="G66" s="29" t="n">
        <f aca="false">(F66-E66)/F66</f>
        <v>0.0900383141762452</v>
      </c>
      <c r="H66" s="8" t="n">
        <v>0.77</v>
      </c>
      <c r="I66" s="30" t="n">
        <f aca="false">H66*100</f>
        <v>77</v>
      </c>
      <c r="J66" s="31" t="n">
        <f aca="false">E66*100</f>
        <v>5700</v>
      </c>
      <c r="K66" s="32" t="n">
        <f aca="false">I66/J66</f>
        <v>0.0135087719298246</v>
      </c>
      <c r="L66" s="4" t="s">
        <v>75</v>
      </c>
      <c r="M66" s="8" t="n">
        <v>1.83</v>
      </c>
      <c r="N66" s="30" t="n">
        <f aca="false">M66*100</f>
        <v>183</v>
      </c>
      <c r="O66" s="30" t="n">
        <f aca="false">I66-N66</f>
        <v>-106</v>
      </c>
      <c r="P66" s="8" t="n">
        <v>59.04</v>
      </c>
      <c r="Q66" s="4"/>
    </row>
    <row r="67" customFormat="false" ht="15" hidden="false" customHeight="false" outlineLevel="0" collapsed="false">
      <c r="A67" s="27" t="n">
        <v>66</v>
      </c>
      <c r="B67" s="27" t="n">
        <v>41</v>
      </c>
      <c r="C67" s="4" t="s">
        <v>76</v>
      </c>
      <c r="D67" s="4" t="s">
        <v>74</v>
      </c>
      <c r="E67" s="28" t="n">
        <v>55</v>
      </c>
      <c r="F67" s="8" t="n">
        <v>57.82</v>
      </c>
      <c r="G67" s="29" t="n">
        <f aca="false">(F67-E67)/F67</f>
        <v>0.0487720511933587</v>
      </c>
      <c r="H67" s="8" t="n">
        <v>1.06</v>
      </c>
      <c r="I67" s="30" t="n">
        <f aca="false">H67*100</f>
        <v>106</v>
      </c>
      <c r="J67" s="31" t="n">
        <f aca="false">E67*100</f>
        <v>5500</v>
      </c>
      <c r="K67" s="32" t="n">
        <f aca="false">I67/J67</f>
        <v>0.0192727272727273</v>
      </c>
      <c r="L67" s="4" t="s">
        <v>81</v>
      </c>
      <c r="M67" s="8" t="n">
        <v>0</v>
      </c>
      <c r="N67" s="30" t="n">
        <f aca="false">M67*100</f>
        <v>0</v>
      </c>
      <c r="O67" s="30" t="n">
        <f aca="false">I67-N67</f>
        <v>106</v>
      </c>
      <c r="P67" s="8" t="n">
        <v>59.04</v>
      </c>
      <c r="Q67" s="4"/>
    </row>
    <row r="68" customFormat="false" ht="15" hidden="false" customHeight="false" outlineLevel="0" collapsed="false">
      <c r="A68" s="27" t="n">
        <v>67</v>
      </c>
      <c r="B68" s="27" t="n">
        <v>42</v>
      </c>
      <c r="C68" s="4" t="s">
        <v>73</v>
      </c>
      <c r="D68" s="4" t="s">
        <v>74</v>
      </c>
      <c r="E68" s="28" t="n">
        <v>50</v>
      </c>
      <c r="F68" s="8" t="n">
        <v>59.04</v>
      </c>
      <c r="G68" s="29" t="n">
        <f aca="false">(F68-E68)/F68</f>
        <v>0.153116531165312</v>
      </c>
      <c r="H68" s="8" t="n">
        <v>0.82</v>
      </c>
      <c r="I68" s="30" t="n">
        <f aca="false">H68*100</f>
        <v>82</v>
      </c>
      <c r="J68" s="31" t="n">
        <f aca="false">E68*100</f>
        <v>5000</v>
      </c>
      <c r="K68" s="32" t="n">
        <f aca="false">I68/J68</f>
        <v>0.0164</v>
      </c>
      <c r="L68" s="4" t="s">
        <v>75</v>
      </c>
      <c r="M68" s="8" t="n">
        <v>0.03</v>
      </c>
      <c r="N68" s="30" t="n">
        <f aca="false">M68*100</f>
        <v>3</v>
      </c>
      <c r="O68" s="30" t="n">
        <f aca="false">I68-N68</f>
        <v>79</v>
      </c>
      <c r="P68" s="8" t="n">
        <v>67.27</v>
      </c>
      <c r="Q68" s="4"/>
    </row>
    <row r="69" customFormat="false" ht="15" hidden="false" customHeight="false" outlineLevel="0" collapsed="false">
      <c r="A69" s="27" t="n">
        <v>68</v>
      </c>
      <c r="B69" s="27" t="n">
        <v>42</v>
      </c>
      <c r="C69" s="4" t="s">
        <v>73</v>
      </c>
      <c r="D69" s="4" t="s">
        <v>74</v>
      </c>
      <c r="E69" s="28" t="n">
        <v>40</v>
      </c>
      <c r="F69" s="8" t="n">
        <v>59.04</v>
      </c>
      <c r="G69" s="29" t="n">
        <f aca="false">(F69-E69)/F69</f>
        <v>0.322493224932249</v>
      </c>
      <c r="H69" s="8" t="n">
        <v>0.1</v>
      </c>
      <c r="I69" s="30" t="n">
        <f aca="false">H69*100</f>
        <v>10</v>
      </c>
      <c r="J69" s="31" t="n">
        <f aca="false">E69*100</f>
        <v>4000</v>
      </c>
      <c r="K69" s="32" t="n">
        <f aca="false">I69/J69</f>
        <v>0.0025</v>
      </c>
      <c r="L69" s="4" t="s">
        <v>75</v>
      </c>
      <c r="M69" s="8" t="n">
        <v>0.01</v>
      </c>
      <c r="N69" s="30" t="n">
        <f aca="false">M69*100</f>
        <v>1</v>
      </c>
      <c r="O69" s="30" t="n">
        <f aca="false">I69-N69</f>
        <v>9</v>
      </c>
      <c r="P69" s="8" t="n">
        <v>67.27</v>
      </c>
      <c r="Q69" s="4"/>
    </row>
    <row r="70" customFormat="false" ht="15" hidden="false" customHeight="false" outlineLevel="0" collapsed="false">
      <c r="A70" s="27" t="n">
        <v>69</v>
      </c>
      <c r="B70" s="27" t="n">
        <v>42</v>
      </c>
      <c r="C70" s="4" t="s">
        <v>76</v>
      </c>
      <c r="D70" s="4" t="s">
        <v>74</v>
      </c>
      <c r="E70" s="28" t="n">
        <v>59</v>
      </c>
      <c r="F70" s="8" t="n">
        <v>74.59</v>
      </c>
      <c r="G70" s="29" t="n">
        <f aca="false">(F70-E70)/F70</f>
        <v>0.209009250569782</v>
      </c>
      <c r="H70" s="8" t="n">
        <v>0.2</v>
      </c>
      <c r="I70" s="30" t="n">
        <f aca="false">H70*100</f>
        <v>20</v>
      </c>
      <c r="J70" s="31" t="n">
        <f aca="false">E70*100</f>
        <v>5900</v>
      </c>
      <c r="K70" s="32" t="n">
        <f aca="false">I70/J70</f>
        <v>0.00338983050847458</v>
      </c>
      <c r="L70" s="4" t="s">
        <v>81</v>
      </c>
      <c r="M70" s="8" t="n">
        <v>0</v>
      </c>
      <c r="N70" s="30" t="n">
        <f aca="false">M70*100</f>
        <v>0</v>
      </c>
      <c r="O70" s="30" t="n">
        <f aca="false">I70-N70</f>
        <v>20</v>
      </c>
      <c r="P70" s="8" t="n">
        <v>67.27</v>
      </c>
      <c r="Q70" s="4"/>
    </row>
    <row r="71" customFormat="false" ht="15" hidden="false" customHeight="false" outlineLevel="0" collapsed="false">
      <c r="A71" s="27" t="n">
        <v>70</v>
      </c>
      <c r="B71" s="27" t="n">
        <v>43</v>
      </c>
      <c r="C71" s="4" t="s">
        <v>73</v>
      </c>
      <c r="D71" s="4" t="s">
        <v>74</v>
      </c>
      <c r="E71" s="28" t="n">
        <v>49</v>
      </c>
      <c r="F71" s="8" t="n">
        <v>67.27</v>
      </c>
      <c r="G71" s="29" t="n">
        <f aca="false">(F71-E71)/F71</f>
        <v>0.27159209157128</v>
      </c>
      <c r="H71" s="8" t="n">
        <v>1</v>
      </c>
      <c r="I71" s="30" t="n">
        <f aca="false">H71*100</f>
        <v>100</v>
      </c>
      <c r="J71" s="31" t="n">
        <f aca="false">E71*100</f>
        <v>4900</v>
      </c>
      <c r="K71" s="32" t="n">
        <f aca="false">I71/J71</f>
        <v>0.0204081632653061</v>
      </c>
      <c r="L71" s="4" t="s">
        <v>75</v>
      </c>
      <c r="M71" s="8" t="n">
        <v>0.02</v>
      </c>
      <c r="N71" s="30" t="n">
        <f aca="false">M71*100</f>
        <v>2</v>
      </c>
      <c r="O71" s="30" t="n">
        <f aca="false">I71-N71</f>
        <v>98</v>
      </c>
      <c r="P71" s="8" t="n">
        <v>74.51</v>
      </c>
      <c r="Q71" s="4"/>
    </row>
    <row r="72" customFormat="false" ht="15" hidden="false" customHeight="false" outlineLevel="0" collapsed="false">
      <c r="A72" s="27" t="n">
        <v>71</v>
      </c>
      <c r="B72" s="27" t="n">
        <v>43</v>
      </c>
      <c r="C72" s="4" t="s">
        <v>73</v>
      </c>
      <c r="D72" s="4" t="s">
        <v>74</v>
      </c>
      <c r="E72" s="28" t="n">
        <v>40</v>
      </c>
      <c r="F72" s="8" t="n">
        <v>67.27</v>
      </c>
      <c r="G72" s="29" t="n">
        <f aca="false">(F72-E72)/F72</f>
        <v>0.405381299241861</v>
      </c>
      <c r="H72" s="8" t="n">
        <v>0.3</v>
      </c>
      <c r="I72" s="30" t="n">
        <f aca="false">H72*100</f>
        <v>30</v>
      </c>
      <c r="J72" s="31" t="n">
        <f aca="false">E72*100</f>
        <v>4000</v>
      </c>
      <c r="K72" s="32" t="n">
        <f aca="false">I72/J72</f>
        <v>0.0075</v>
      </c>
      <c r="L72" s="4" t="s">
        <v>75</v>
      </c>
      <c r="M72" s="8" t="n">
        <v>0.01</v>
      </c>
      <c r="N72" s="30" t="n">
        <f aca="false">M72*100</f>
        <v>1</v>
      </c>
      <c r="O72" s="30" t="n">
        <f aca="false">I72-N72</f>
        <v>29</v>
      </c>
      <c r="P72" s="8" t="n">
        <v>74.51</v>
      </c>
      <c r="Q72" s="4"/>
    </row>
    <row r="73" customFormat="false" ht="15" hidden="false" customHeight="false" outlineLevel="0" collapsed="false">
      <c r="A73" s="27" t="n">
        <v>72</v>
      </c>
      <c r="B73" s="27" t="n">
        <v>43</v>
      </c>
      <c r="C73" s="4" t="s">
        <v>76</v>
      </c>
      <c r="D73" s="4" t="s">
        <v>74</v>
      </c>
      <c r="E73" s="28" t="n">
        <v>57.5</v>
      </c>
      <c r="F73" s="8" t="n">
        <v>66.36</v>
      </c>
      <c r="G73" s="29" t="n">
        <f aca="false">(F73-E73)/F73</f>
        <v>0.133514165159735</v>
      </c>
      <c r="H73" s="8" t="n">
        <v>0.25</v>
      </c>
      <c r="I73" s="30" t="n">
        <f aca="false">H73*100</f>
        <v>25</v>
      </c>
      <c r="J73" s="31" t="n">
        <f aca="false">E73*100</f>
        <v>5750</v>
      </c>
      <c r="K73" s="32" t="n">
        <f aca="false">I73/J73</f>
        <v>0.00434782608695652</v>
      </c>
      <c r="L73" s="4" t="s">
        <v>81</v>
      </c>
      <c r="M73" s="8" t="n">
        <v>0</v>
      </c>
      <c r="N73" s="30" t="n">
        <f aca="false">M73*100</f>
        <v>0</v>
      </c>
      <c r="O73" s="30" t="n">
        <f aca="false">I73-N73</f>
        <v>25</v>
      </c>
      <c r="P73" s="8" t="n">
        <v>74.51</v>
      </c>
      <c r="Q73" s="4"/>
    </row>
    <row r="74" customFormat="false" ht="15" hidden="false" customHeight="false" outlineLevel="0" collapsed="false">
      <c r="A74" s="27" t="n">
        <v>73</v>
      </c>
      <c r="B74" s="27" t="n">
        <v>44</v>
      </c>
      <c r="C74" s="4" t="s">
        <v>73</v>
      </c>
      <c r="D74" s="4" t="s">
        <v>74</v>
      </c>
      <c r="E74" s="28" t="n">
        <v>63</v>
      </c>
      <c r="F74" s="8" t="n">
        <v>74.51</v>
      </c>
      <c r="G74" s="29" t="n">
        <f aca="false">(F74-E74)/F74</f>
        <v>0.154475909273923</v>
      </c>
      <c r="H74" s="8" t="n">
        <v>0.64</v>
      </c>
      <c r="I74" s="30" t="n">
        <f aca="false">H74*100</f>
        <v>64</v>
      </c>
      <c r="J74" s="31" t="n">
        <f aca="false">E74*100</f>
        <v>6300</v>
      </c>
      <c r="K74" s="32" t="n">
        <f aca="false">I74/J74</f>
        <v>0.0101587301587302</v>
      </c>
      <c r="L74" s="4" t="s">
        <v>75</v>
      </c>
      <c r="M74" s="8" t="n">
        <v>0.01</v>
      </c>
      <c r="N74" s="30" t="n">
        <f aca="false">M74*100</f>
        <v>1</v>
      </c>
      <c r="O74" s="30" t="n">
        <f aca="false">I74-N74</f>
        <v>63</v>
      </c>
      <c r="P74" s="8" t="n">
        <v>75.09</v>
      </c>
      <c r="Q74" s="4"/>
    </row>
    <row r="75" customFormat="false" ht="15" hidden="false" customHeight="false" outlineLevel="0" collapsed="false">
      <c r="A75" s="27" t="n">
        <v>74</v>
      </c>
      <c r="B75" s="27" t="n">
        <v>45</v>
      </c>
      <c r="C75" s="4" t="s">
        <v>73</v>
      </c>
      <c r="D75" s="4" t="s">
        <v>74</v>
      </c>
      <c r="E75" s="28" t="n">
        <v>65</v>
      </c>
      <c r="F75" s="8" t="n">
        <v>75.09</v>
      </c>
      <c r="G75" s="29" t="n">
        <f aca="false">(F75-E75)/F75</f>
        <v>0.134372086829138</v>
      </c>
      <c r="H75" s="8" t="n">
        <v>0.23</v>
      </c>
      <c r="I75" s="30" t="n">
        <f aca="false">H75*100</f>
        <v>23</v>
      </c>
      <c r="J75" s="31" t="n">
        <f aca="false">E75*100</f>
        <v>6500</v>
      </c>
      <c r="K75" s="32" t="n">
        <f aca="false">I75/J75</f>
        <v>0.00353846153846154</v>
      </c>
      <c r="L75" s="4" t="s">
        <v>75</v>
      </c>
      <c r="M75" s="8" t="n">
        <v>4.33</v>
      </c>
      <c r="N75" s="30" t="n">
        <f aca="false">M75*100</f>
        <v>433</v>
      </c>
      <c r="O75" s="30" t="n">
        <f aca="false">I75-N75</f>
        <v>-410</v>
      </c>
      <c r="P75" s="8" t="n">
        <v>57.11</v>
      </c>
      <c r="Q75" s="4"/>
    </row>
    <row r="76" customFormat="false" ht="15" hidden="false" customHeight="false" outlineLevel="0" collapsed="false">
      <c r="A76" s="27" t="n">
        <v>75</v>
      </c>
      <c r="B76" s="27" t="n">
        <v>45</v>
      </c>
      <c r="C76" s="4" t="s">
        <v>76</v>
      </c>
      <c r="D76" s="4" t="s">
        <v>74</v>
      </c>
      <c r="E76" s="28" t="n">
        <v>50</v>
      </c>
      <c r="F76" s="8" t="n">
        <v>62.14</v>
      </c>
      <c r="G76" s="29" t="n">
        <f aca="false">(F76-E76)/F76</f>
        <v>0.195365304151915</v>
      </c>
      <c r="H76" s="8" t="n">
        <v>0.16</v>
      </c>
      <c r="I76" s="30" t="n">
        <f aca="false">H76*100</f>
        <v>16</v>
      </c>
      <c r="J76" s="31" t="n">
        <f aca="false">E76*100</f>
        <v>5000</v>
      </c>
      <c r="K76" s="32" t="n">
        <f aca="false">I76/J76</f>
        <v>0.0032</v>
      </c>
      <c r="L76" s="4" t="s">
        <v>81</v>
      </c>
      <c r="M76" s="8" t="n">
        <v>0</v>
      </c>
      <c r="N76" s="30" t="n">
        <f aca="false">M76*100</f>
        <v>0</v>
      </c>
      <c r="O76" s="30" t="n">
        <f aca="false">I76-N76</f>
        <v>16</v>
      </c>
      <c r="P76" s="8" t="n">
        <v>57.11</v>
      </c>
      <c r="Q76" s="4"/>
    </row>
    <row r="77" customFormat="false" ht="15" hidden="false" customHeight="false" outlineLevel="0" collapsed="false">
      <c r="A77" s="27" t="n">
        <v>76</v>
      </c>
      <c r="B77" s="27" t="n">
        <v>46</v>
      </c>
      <c r="C77" s="4" t="s">
        <v>73</v>
      </c>
      <c r="D77" s="4" t="s">
        <v>74</v>
      </c>
      <c r="E77" s="28" t="n">
        <v>45</v>
      </c>
      <c r="F77" s="8" t="n">
        <v>57.11</v>
      </c>
      <c r="G77" s="29" t="n">
        <f aca="false">(F77-E77)/F77</f>
        <v>0.212046926983015</v>
      </c>
      <c r="H77" s="8" t="n">
        <v>0.47</v>
      </c>
      <c r="I77" s="30" t="n">
        <f aca="false">H77*100</f>
        <v>47</v>
      </c>
      <c r="J77" s="31" t="n">
        <f aca="false">E77*100</f>
        <v>4500</v>
      </c>
      <c r="K77" s="32" t="n">
        <f aca="false">I77/J77</f>
        <v>0.0104444444444444</v>
      </c>
      <c r="L77" s="4" t="s">
        <v>75</v>
      </c>
      <c r="M77" s="8" t="n">
        <v>0.01</v>
      </c>
      <c r="N77" s="30" t="n">
        <f aca="false">M77*100</f>
        <v>1</v>
      </c>
      <c r="O77" s="30" t="n">
        <f aca="false">I77-N77</f>
        <v>46</v>
      </c>
      <c r="P77" s="8" t="n">
        <v>60.47</v>
      </c>
      <c r="Q77" s="4"/>
    </row>
    <row r="78" customFormat="false" ht="15" hidden="false" customHeight="false" outlineLevel="0" collapsed="false">
      <c r="A78" s="27" t="n">
        <v>77</v>
      </c>
      <c r="B78" s="27" t="n">
        <v>46</v>
      </c>
      <c r="C78" s="4" t="s">
        <v>73</v>
      </c>
      <c r="D78" s="4" t="s">
        <v>74</v>
      </c>
      <c r="E78" s="28" t="n">
        <v>40</v>
      </c>
      <c r="F78" s="8" t="n">
        <v>57.11</v>
      </c>
      <c r="G78" s="29" t="n">
        <f aca="false">(F78-E78)/F78</f>
        <v>0.299597268429347</v>
      </c>
      <c r="H78" s="8" t="n">
        <v>0.16</v>
      </c>
      <c r="I78" s="30" t="n">
        <f aca="false">H78*100</f>
        <v>16</v>
      </c>
      <c r="J78" s="31" t="n">
        <f aca="false">E78*100</f>
        <v>4000</v>
      </c>
      <c r="K78" s="32" t="n">
        <f aca="false">I78/J78</f>
        <v>0.004</v>
      </c>
      <c r="L78" s="4" t="s">
        <v>75</v>
      </c>
      <c r="M78" s="8" t="n">
        <v>0.01</v>
      </c>
      <c r="N78" s="30" t="n">
        <f aca="false">M78*100</f>
        <v>1</v>
      </c>
      <c r="O78" s="30" t="n">
        <f aca="false">I78-N78</f>
        <v>15</v>
      </c>
      <c r="P78" s="8" t="n">
        <v>60.47</v>
      </c>
      <c r="Q78" s="4"/>
    </row>
    <row r="79" customFormat="false" ht="15" hidden="false" customHeight="false" outlineLevel="0" collapsed="false">
      <c r="A79" s="27" t="n">
        <v>78</v>
      </c>
      <c r="B79" s="27" t="n">
        <v>46</v>
      </c>
      <c r="C79" s="4" t="s">
        <v>76</v>
      </c>
      <c r="D79" s="4" t="s">
        <v>74</v>
      </c>
      <c r="E79" s="28" t="n">
        <v>51.5</v>
      </c>
      <c r="F79" s="8" t="n">
        <v>60.27</v>
      </c>
      <c r="G79" s="29" t="n">
        <f aca="false">(F79-E79)/F79</f>
        <v>0.145511863281898</v>
      </c>
      <c r="H79" s="8" t="n">
        <v>0.1</v>
      </c>
      <c r="I79" s="30" t="n">
        <f aca="false">H79*100</f>
        <v>10</v>
      </c>
      <c r="J79" s="31" t="n">
        <f aca="false">E79*100</f>
        <v>5150</v>
      </c>
      <c r="K79" s="32" t="n">
        <f aca="false">I79/J79</f>
        <v>0.00194174757281553</v>
      </c>
      <c r="L79" s="4" t="s">
        <v>81</v>
      </c>
      <c r="M79" s="8" t="n">
        <v>0</v>
      </c>
      <c r="N79" s="30" t="n">
        <f aca="false">M79*100</f>
        <v>0</v>
      </c>
      <c r="O79" s="30" t="n">
        <f aca="false">I79-N79</f>
        <v>10</v>
      </c>
      <c r="P79" s="8" t="n">
        <v>60.47</v>
      </c>
      <c r="Q79" s="4"/>
    </row>
    <row r="80" customFormat="false" ht="15" hidden="false" customHeight="false" outlineLevel="0" collapsed="false">
      <c r="A80" s="27" t="n">
        <v>79</v>
      </c>
      <c r="B80" s="27" t="n">
        <v>47</v>
      </c>
      <c r="C80" s="4" t="s">
        <v>73</v>
      </c>
      <c r="D80" s="4" t="s">
        <v>74</v>
      </c>
      <c r="E80" s="28" t="n">
        <v>50</v>
      </c>
      <c r="F80" s="8" t="n">
        <v>60.47</v>
      </c>
      <c r="G80" s="29" t="n">
        <f aca="false">(F80-E80)/F80</f>
        <v>0.173143707623615</v>
      </c>
      <c r="H80" s="8" t="n">
        <v>0.46</v>
      </c>
      <c r="I80" s="30" t="n">
        <f aca="false">H80*100</f>
        <v>46</v>
      </c>
      <c r="J80" s="31" t="n">
        <f aca="false">E80*100</f>
        <v>5000</v>
      </c>
      <c r="K80" s="32" t="n">
        <f aca="false">I80/J80</f>
        <v>0.0092</v>
      </c>
      <c r="L80" s="4" t="s">
        <v>75</v>
      </c>
      <c r="M80" s="8" t="n">
        <v>0.01</v>
      </c>
      <c r="N80" s="30" t="n">
        <f aca="false">M80*100</f>
        <v>1</v>
      </c>
      <c r="O80" s="30" t="n">
        <f aca="false">I80-N80</f>
        <v>45</v>
      </c>
      <c r="P80" s="8" t="n">
        <v>64.56</v>
      </c>
      <c r="Q80" s="4"/>
    </row>
    <row r="81" customFormat="false" ht="15" hidden="false" customHeight="false" outlineLevel="0" collapsed="false">
      <c r="A81" s="27" t="n">
        <v>80</v>
      </c>
      <c r="B81" s="27" t="n">
        <v>47</v>
      </c>
      <c r="C81" s="4" t="s">
        <v>73</v>
      </c>
      <c r="D81" s="4" t="s">
        <v>74</v>
      </c>
      <c r="E81" s="28" t="n">
        <v>48</v>
      </c>
      <c r="F81" s="8" t="n">
        <v>60.47</v>
      </c>
      <c r="G81" s="29" t="n">
        <f aca="false">(F81-E81)/F81</f>
        <v>0.20621795931867</v>
      </c>
      <c r="H81" s="8" t="n">
        <v>0.3</v>
      </c>
      <c r="I81" s="30" t="n">
        <f aca="false">H81*100</f>
        <v>30</v>
      </c>
      <c r="J81" s="31" t="n">
        <f aca="false">E81*100</f>
        <v>4800</v>
      </c>
      <c r="K81" s="32" t="n">
        <f aca="false">I81/J81</f>
        <v>0.00625</v>
      </c>
      <c r="L81" s="4" t="s">
        <v>75</v>
      </c>
      <c r="M81" s="8" t="n">
        <v>0.01</v>
      </c>
      <c r="N81" s="30" t="n">
        <f aca="false">M81*100</f>
        <v>1</v>
      </c>
      <c r="O81" s="30" t="n">
        <f aca="false">I81-N81</f>
        <v>29</v>
      </c>
      <c r="P81" s="8" t="n">
        <v>64.56</v>
      </c>
      <c r="Q81" s="4"/>
    </row>
    <row r="82" customFormat="false" ht="15" hidden="false" customHeight="false" outlineLevel="0" collapsed="false">
      <c r="A82" s="27" t="n">
        <v>81</v>
      </c>
      <c r="B82" s="27" t="n">
        <v>47</v>
      </c>
      <c r="C82" s="4" t="s">
        <v>76</v>
      </c>
      <c r="D82" s="4" t="s">
        <v>74</v>
      </c>
      <c r="E82" s="28" t="n">
        <v>57</v>
      </c>
      <c r="F82" s="8" t="n">
        <v>62.1</v>
      </c>
      <c r="G82" s="29" t="n">
        <f aca="false">(F82-E82)/F82</f>
        <v>0.0821256038647343</v>
      </c>
      <c r="H82" s="8" t="n">
        <v>0.1</v>
      </c>
      <c r="I82" s="30" t="n">
        <f aca="false">H82*100</f>
        <v>10</v>
      </c>
      <c r="J82" s="31" t="n">
        <f aca="false">E82*100</f>
        <v>5700</v>
      </c>
      <c r="K82" s="32" t="n">
        <f aca="false">I82/J82</f>
        <v>0.00175438596491228</v>
      </c>
      <c r="L82" s="4" t="s">
        <v>81</v>
      </c>
      <c r="M82" s="8" t="n">
        <v>0</v>
      </c>
      <c r="N82" s="30" t="n">
        <f aca="false">M82*100</f>
        <v>0</v>
      </c>
      <c r="O82" s="30" t="n">
        <f aca="false">I82-N82</f>
        <v>10</v>
      </c>
      <c r="P82" s="8" t="n">
        <v>64.56</v>
      </c>
      <c r="Q82" s="4"/>
    </row>
    <row r="83" customFormat="false" ht="15" hidden="false" customHeight="false" outlineLevel="0" collapsed="false">
      <c r="A83" s="27" t="n">
        <v>82</v>
      </c>
      <c r="B83" s="27" t="n">
        <v>48</v>
      </c>
      <c r="C83" s="4" t="s">
        <v>73</v>
      </c>
      <c r="D83" s="4" t="s">
        <v>74</v>
      </c>
      <c r="E83" s="28" t="n">
        <v>55</v>
      </c>
      <c r="F83" s="8" t="n">
        <v>64.56</v>
      </c>
      <c r="G83" s="29" t="n">
        <f aca="false">(F83-E83)/F83</f>
        <v>0.148079306071871</v>
      </c>
      <c r="H83" s="8" t="n">
        <v>0.17</v>
      </c>
      <c r="I83" s="30" t="n">
        <f aca="false">H83*100</f>
        <v>17</v>
      </c>
      <c r="J83" s="31" t="n">
        <f aca="false">E83*100</f>
        <v>5500</v>
      </c>
      <c r="K83" s="32" t="n">
        <f aca="false">I83/J83</f>
        <v>0.00309090909090909</v>
      </c>
      <c r="L83" s="4" t="s">
        <v>75</v>
      </c>
      <c r="M83" s="8" t="n">
        <v>0.01</v>
      </c>
      <c r="N83" s="30" t="n">
        <f aca="false">M83*100</f>
        <v>1</v>
      </c>
      <c r="O83" s="30" t="n">
        <f aca="false">I83-N83</f>
        <v>16</v>
      </c>
      <c r="P83" s="8" t="n">
        <v>67.7</v>
      </c>
      <c r="Q83" s="4"/>
    </row>
    <row r="84" customFormat="false" ht="15" hidden="false" customHeight="false" outlineLevel="0" collapsed="false">
      <c r="A84" s="27" t="n">
        <v>83</v>
      </c>
      <c r="B84" s="27" t="n">
        <v>48</v>
      </c>
      <c r="C84" s="4" t="s">
        <v>73</v>
      </c>
      <c r="D84" s="4" t="s">
        <v>74</v>
      </c>
      <c r="E84" s="28" t="n">
        <v>56</v>
      </c>
      <c r="F84" s="8" t="n">
        <v>64.56</v>
      </c>
      <c r="G84" s="29" t="n">
        <f aca="false">(F84-E84)/F84</f>
        <v>0.132589838909542</v>
      </c>
      <c r="H84" s="8" t="n">
        <v>0.24</v>
      </c>
      <c r="I84" s="30" t="n">
        <f aca="false">H84*100</f>
        <v>24</v>
      </c>
      <c r="J84" s="31" t="n">
        <f aca="false">E84*100</f>
        <v>5600</v>
      </c>
      <c r="K84" s="32" t="n">
        <f aca="false">I84/J84</f>
        <v>0.00428571428571429</v>
      </c>
      <c r="L84" s="4" t="s">
        <v>75</v>
      </c>
      <c r="M84" s="8" t="n">
        <v>0.01</v>
      </c>
      <c r="N84" s="30" t="n">
        <f aca="false">M84*100</f>
        <v>1</v>
      </c>
      <c r="O84" s="30" t="n">
        <f aca="false">I84-N84</f>
        <v>23</v>
      </c>
      <c r="P84" s="8" t="n">
        <v>67.7</v>
      </c>
      <c r="Q84" s="4"/>
    </row>
    <row r="85" customFormat="false" ht="15" hidden="false" customHeight="false" outlineLevel="0" collapsed="false">
      <c r="A85" s="27" t="n">
        <v>84</v>
      </c>
      <c r="B85" s="27" t="n">
        <v>48</v>
      </c>
      <c r="C85" s="4" t="s">
        <v>76</v>
      </c>
      <c r="D85" s="4" t="s">
        <v>74</v>
      </c>
      <c r="E85" s="28" t="n">
        <v>61.5</v>
      </c>
      <c r="F85" s="8" t="n">
        <v>67.43</v>
      </c>
      <c r="G85" s="29" t="n">
        <f aca="false">(F85-E85)/F85</f>
        <v>0.087943052053982</v>
      </c>
      <c r="H85" s="8" t="n">
        <v>0.11</v>
      </c>
      <c r="I85" s="30" t="n">
        <f aca="false">H85*100</f>
        <v>11</v>
      </c>
      <c r="J85" s="31" t="n">
        <f aca="false">E85*100</f>
        <v>6150</v>
      </c>
      <c r="K85" s="32" t="n">
        <f aca="false">I85/J85</f>
        <v>0.00178861788617886</v>
      </c>
      <c r="L85" s="4" t="s">
        <v>81</v>
      </c>
      <c r="M85" s="8" t="n">
        <v>0</v>
      </c>
      <c r="N85" s="30" t="n">
        <f aca="false">M85*100</f>
        <v>0</v>
      </c>
      <c r="O85" s="30" t="n">
        <f aca="false">I85-N85</f>
        <v>11</v>
      </c>
      <c r="P85" s="8" t="n">
        <v>67.7</v>
      </c>
      <c r="Q85" s="4"/>
    </row>
    <row r="86" customFormat="false" ht="15" hidden="false" customHeight="false" outlineLevel="0" collapsed="false">
      <c r="A86" s="27" t="n">
        <v>85</v>
      </c>
      <c r="B86" s="27" t="n">
        <v>49</v>
      </c>
      <c r="C86" s="4" t="s">
        <v>73</v>
      </c>
      <c r="D86" s="4" t="s">
        <v>74</v>
      </c>
      <c r="E86" s="28" t="n">
        <v>60.5</v>
      </c>
      <c r="F86" s="8" t="n">
        <v>67.7</v>
      </c>
      <c r="G86" s="29" t="n">
        <f aca="false">(F86-E86)/F86</f>
        <v>0.106351550960118</v>
      </c>
      <c r="H86" s="8" t="n">
        <v>0.58</v>
      </c>
      <c r="I86" s="30" t="n">
        <f aca="false">H86*100</f>
        <v>58</v>
      </c>
      <c r="J86" s="31" t="n">
        <f aca="false">E86*100</f>
        <v>6050</v>
      </c>
      <c r="K86" s="32" t="n">
        <f aca="false">I86/J86</f>
        <v>0.00958677685950413</v>
      </c>
      <c r="L86" s="4" t="s">
        <v>75</v>
      </c>
      <c r="M86" s="8" t="n">
        <v>0.07</v>
      </c>
      <c r="N86" s="30" t="n">
        <f aca="false">M86*100</f>
        <v>7</v>
      </c>
      <c r="O86" s="30" t="n">
        <f aca="false">I86-N86</f>
        <v>51</v>
      </c>
      <c r="P86" s="8" t="n">
        <v>68.02</v>
      </c>
      <c r="Q86" s="4"/>
    </row>
    <row r="87" customFormat="false" ht="15" hidden="false" customHeight="false" outlineLevel="0" collapsed="false">
      <c r="A87" s="27" t="n">
        <v>86</v>
      </c>
      <c r="B87" s="27" t="n">
        <v>49</v>
      </c>
      <c r="C87" s="4" t="s">
        <v>76</v>
      </c>
      <c r="D87" s="4" t="s">
        <v>74</v>
      </c>
      <c r="E87" s="28" t="n">
        <v>65</v>
      </c>
      <c r="F87" s="8" t="n">
        <v>67.43</v>
      </c>
      <c r="G87" s="29" t="n">
        <f aca="false">(F87-E87)/F87</f>
        <v>0.0360373720895745</v>
      </c>
      <c r="H87" s="8" t="n">
        <v>0.56</v>
      </c>
      <c r="I87" s="30" t="n">
        <f aca="false">H87*100</f>
        <v>56</v>
      </c>
      <c r="J87" s="31" t="n">
        <f aca="false">E87*100</f>
        <v>6500</v>
      </c>
      <c r="K87" s="32" t="n">
        <f aca="false">I87/J87</f>
        <v>0.00861538461538462</v>
      </c>
      <c r="L87" s="4" t="s">
        <v>81</v>
      </c>
      <c r="M87" s="8" t="n">
        <v>0</v>
      </c>
      <c r="N87" s="30" t="n">
        <f aca="false">M87*100</f>
        <v>0</v>
      </c>
      <c r="O87" s="30" t="n">
        <f aca="false">I87-N87</f>
        <v>56</v>
      </c>
      <c r="P87" s="8" t="n">
        <v>68.02</v>
      </c>
      <c r="Q87" s="4"/>
    </row>
    <row r="88" customFormat="false" ht="15" hidden="false" customHeight="false" outlineLevel="0" collapsed="false">
      <c r="A88" s="27" t="n">
        <v>87</v>
      </c>
      <c r="B88" s="27" t="n">
        <v>50</v>
      </c>
      <c r="C88" s="4" t="s">
        <v>76</v>
      </c>
      <c r="D88" s="4" t="s">
        <v>74</v>
      </c>
      <c r="E88" s="28" t="n">
        <v>62</v>
      </c>
      <c r="F88" s="8" t="n">
        <v>67.85</v>
      </c>
      <c r="G88" s="29" t="n">
        <f aca="false">(F88-E88)/F88</f>
        <v>0.086219602063375</v>
      </c>
      <c r="H88" s="8" t="n">
        <v>1.03</v>
      </c>
      <c r="I88" s="30" t="n">
        <f aca="false">H88*100</f>
        <v>103</v>
      </c>
      <c r="J88" s="31" t="n">
        <f aca="false">E88*100</f>
        <v>6200</v>
      </c>
      <c r="K88" s="32" t="n">
        <f aca="false">I88/J88</f>
        <v>0.0166129032258065</v>
      </c>
      <c r="L88" s="4" t="s">
        <v>81</v>
      </c>
      <c r="M88" s="8" t="n">
        <v>0</v>
      </c>
      <c r="N88" s="30" t="n">
        <f aca="false">M88*100</f>
        <v>0</v>
      </c>
      <c r="O88" s="30" t="n">
        <f aca="false">I88-N88</f>
        <v>103</v>
      </c>
      <c r="P88" s="8" t="n">
        <v>63.73</v>
      </c>
      <c r="Q88" s="4"/>
    </row>
    <row r="89" customFormat="false" ht="15" hidden="false" customHeight="false" outlineLevel="0" collapsed="false">
      <c r="A89" s="27" t="n">
        <v>88</v>
      </c>
      <c r="B89" s="27" t="n">
        <v>51</v>
      </c>
      <c r="C89" s="4" t="s">
        <v>73</v>
      </c>
      <c r="D89" s="4" t="s">
        <v>74</v>
      </c>
      <c r="E89" s="28" t="n">
        <v>54.5</v>
      </c>
      <c r="F89" s="8" t="n">
        <v>63.73</v>
      </c>
      <c r="G89" s="29" t="n">
        <f aca="false">(F89-E89)/F89</f>
        <v>0.144829750509964</v>
      </c>
      <c r="H89" s="8" t="n">
        <v>0.93</v>
      </c>
      <c r="I89" s="30" t="n">
        <f aca="false">H89*100</f>
        <v>93</v>
      </c>
      <c r="J89" s="31" t="n">
        <f aca="false">E89*100</f>
        <v>5450</v>
      </c>
      <c r="K89" s="32" t="n">
        <f aca="false">I89/J89</f>
        <v>0.0170642201834862</v>
      </c>
      <c r="L89" s="4" t="s">
        <v>75</v>
      </c>
      <c r="M89" s="8" t="n">
        <v>0.05</v>
      </c>
      <c r="N89" s="30" t="n">
        <f aca="false">M89*100</f>
        <v>5</v>
      </c>
      <c r="O89" s="30" t="n">
        <f aca="false">I89-N89</f>
        <v>88</v>
      </c>
      <c r="P89" s="8" t="n">
        <v>72.85</v>
      </c>
      <c r="Q89" s="4"/>
    </row>
    <row r="90" customFormat="false" ht="15" hidden="false" customHeight="false" outlineLevel="0" collapsed="false">
      <c r="A90" s="27" t="n">
        <v>89</v>
      </c>
      <c r="B90" s="27" t="n">
        <v>51</v>
      </c>
      <c r="C90" s="4" t="s">
        <v>73</v>
      </c>
      <c r="D90" s="4" t="s">
        <v>74</v>
      </c>
      <c r="E90" s="28" t="n">
        <v>52</v>
      </c>
      <c r="F90" s="8" t="n">
        <v>63.73</v>
      </c>
      <c r="G90" s="29" t="n">
        <f aca="false">(F90-E90)/F90</f>
        <v>0.184057743605837</v>
      </c>
      <c r="H90" s="8" t="n">
        <v>0.61</v>
      </c>
      <c r="I90" s="30" t="n">
        <f aca="false">H90*100</f>
        <v>61</v>
      </c>
      <c r="J90" s="31" t="n">
        <f aca="false">E90*100</f>
        <v>5200</v>
      </c>
      <c r="K90" s="32" t="n">
        <f aca="false">I90/J90</f>
        <v>0.0117307692307692</v>
      </c>
      <c r="L90" s="4" t="s">
        <v>75</v>
      </c>
      <c r="M90" s="8" t="n">
        <v>0.03</v>
      </c>
      <c r="N90" s="30" t="n">
        <f aca="false">M90*100</f>
        <v>3</v>
      </c>
      <c r="O90" s="30" t="n">
        <f aca="false">I90-N90</f>
        <v>58</v>
      </c>
      <c r="P90" s="8" t="n">
        <v>72.85</v>
      </c>
      <c r="Q90" s="4"/>
    </row>
    <row r="91" customFormat="false" ht="15" hidden="false" customHeight="false" outlineLevel="0" collapsed="false">
      <c r="A91" s="27" t="n">
        <v>90</v>
      </c>
      <c r="B91" s="27" t="n">
        <v>51</v>
      </c>
      <c r="C91" s="4" t="s">
        <v>76</v>
      </c>
      <c r="D91" s="4" t="s">
        <v>74</v>
      </c>
      <c r="E91" s="28" t="n">
        <v>66</v>
      </c>
      <c r="F91" s="8" t="n">
        <v>76.5</v>
      </c>
      <c r="G91" s="29" t="n">
        <f aca="false">(F91-E91)/F91</f>
        <v>0.137254901960784</v>
      </c>
      <c r="H91" s="8" t="n">
        <v>0.6</v>
      </c>
      <c r="I91" s="30" t="n">
        <f aca="false">H91*100</f>
        <v>60</v>
      </c>
      <c r="J91" s="31" t="n">
        <f aca="false">E91*100</f>
        <v>6600</v>
      </c>
      <c r="K91" s="32" t="n">
        <f aca="false">I91/J91</f>
        <v>0.00909090909090909</v>
      </c>
      <c r="L91" s="4" t="s">
        <v>81</v>
      </c>
      <c r="M91" s="8" t="n">
        <v>0</v>
      </c>
      <c r="N91" s="30" t="n">
        <f aca="false">M91*100</f>
        <v>0</v>
      </c>
      <c r="O91" s="30" t="n">
        <f aca="false">I91-N91</f>
        <v>60</v>
      </c>
      <c r="P91" s="8" t="n">
        <v>72.85</v>
      </c>
      <c r="Q91" s="4"/>
    </row>
    <row r="92" customFormat="false" ht="15" hidden="false" customHeight="false" outlineLevel="0" collapsed="false">
      <c r="A92" s="27" t="n">
        <v>91</v>
      </c>
      <c r="B92" s="27" t="n">
        <v>52</v>
      </c>
      <c r="C92" s="4" t="s">
        <v>73</v>
      </c>
      <c r="D92" s="4" t="s">
        <v>74</v>
      </c>
      <c r="E92" s="28" t="n">
        <v>56</v>
      </c>
      <c r="F92" s="8" t="n">
        <v>72.85</v>
      </c>
      <c r="G92" s="29" t="n">
        <f aca="false">(F92-E92)/F92</f>
        <v>0.231297185998627</v>
      </c>
      <c r="H92" s="8" t="n">
        <v>0.95</v>
      </c>
      <c r="I92" s="30" t="n">
        <f aca="false">H92*100</f>
        <v>95</v>
      </c>
      <c r="J92" s="31" t="n">
        <f aca="false">E92*100</f>
        <v>5600</v>
      </c>
      <c r="K92" s="32" t="n">
        <f aca="false">I92/J92</f>
        <v>0.0169642857142857</v>
      </c>
      <c r="L92" s="4" t="s">
        <v>75</v>
      </c>
      <c r="M92" s="8" t="n">
        <v>0.03</v>
      </c>
      <c r="N92" s="30" t="n">
        <f aca="false">M92*100</f>
        <v>3</v>
      </c>
      <c r="O92" s="30" t="n">
        <f aca="false">I92-N92</f>
        <v>92</v>
      </c>
      <c r="P92" s="8" t="n">
        <v>64.67</v>
      </c>
      <c r="Q92" s="4"/>
    </row>
    <row r="93" customFormat="false" ht="15" hidden="false" customHeight="false" outlineLevel="0" collapsed="false">
      <c r="A93" s="27" t="n">
        <v>92</v>
      </c>
      <c r="B93" s="27" t="n">
        <v>52</v>
      </c>
      <c r="C93" s="4" t="s">
        <v>73</v>
      </c>
      <c r="D93" s="4" t="s">
        <v>74</v>
      </c>
      <c r="E93" s="28" t="n">
        <v>57</v>
      </c>
      <c r="F93" s="8" t="n">
        <v>72.85</v>
      </c>
      <c r="G93" s="29" t="n">
        <f aca="false">(F93-E93)/F93</f>
        <v>0.217570350034317</v>
      </c>
      <c r="H93" s="8" t="n">
        <v>1.07</v>
      </c>
      <c r="I93" s="30" t="n">
        <f aca="false">H93*100</f>
        <v>107</v>
      </c>
      <c r="J93" s="31" t="n">
        <f aca="false">E93*100</f>
        <v>5700</v>
      </c>
      <c r="K93" s="32" t="n">
        <f aca="false">I93/J93</f>
        <v>0.0187719298245614</v>
      </c>
      <c r="L93" s="4" t="s">
        <v>75</v>
      </c>
      <c r="M93" s="8" t="n">
        <v>0.04</v>
      </c>
      <c r="N93" s="30" t="n">
        <f aca="false">M93*100</f>
        <v>4</v>
      </c>
      <c r="O93" s="30" t="n">
        <f aca="false">I93-N93</f>
        <v>103</v>
      </c>
      <c r="P93" s="8" t="n">
        <v>64.67</v>
      </c>
      <c r="Q93" s="4"/>
    </row>
    <row r="94" customFormat="false" ht="15" hidden="false" customHeight="false" outlineLevel="0" collapsed="false">
      <c r="A94" s="27" t="n">
        <v>93</v>
      </c>
      <c r="B94" s="27" t="n">
        <v>52</v>
      </c>
      <c r="C94" s="4" t="s">
        <v>76</v>
      </c>
      <c r="D94" s="4" t="s">
        <v>74</v>
      </c>
      <c r="E94" s="28" t="n">
        <v>60</v>
      </c>
      <c r="F94" s="8" t="n">
        <v>74.16</v>
      </c>
      <c r="G94" s="29" t="n">
        <f aca="false">(F94-E94)/F94</f>
        <v>0.190938511326861</v>
      </c>
      <c r="H94" s="8" t="n">
        <v>0.08</v>
      </c>
      <c r="I94" s="30" t="n">
        <f aca="false">H94*100</f>
        <v>8</v>
      </c>
      <c r="J94" s="31" t="n">
        <f aca="false">E94*100</f>
        <v>6000</v>
      </c>
      <c r="K94" s="32" t="n">
        <f aca="false">I94/J94</f>
        <v>0.00133333333333333</v>
      </c>
      <c r="L94" s="4" t="s">
        <v>81</v>
      </c>
      <c r="M94" s="8" t="n">
        <v>0</v>
      </c>
      <c r="N94" s="30" t="n">
        <f aca="false">M94*100</f>
        <v>0</v>
      </c>
      <c r="O94" s="30" t="n">
        <f aca="false">I94-N94</f>
        <v>8</v>
      </c>
      <c r="P94" s="8" t="n">
        <v>64.67</v>
      </c>
      <c r="Q94" s="4"/>
    </row>
    <row r="96" customFormat="false" ht="15" hidden="false" customHeight="false" outlineLevel="0" collapsed="false">
      <c r="A96" s="3" t="s">
        <v>90</v>
      </c>
      <c r="I96" s="33" t="n">
        <f aca="false">SUM(I2:I94)</f>
        <v>5700</v>
      </c>
      <c r="N96" s="33" t="n">
        <f aca="false">SUM(N2:N94)</f>
        <v>2748</v>
      </c>
      <c r="O96" s="33" t="n">
        <f aca="false">SUM(O2:O94)</f>
        <v>2952</v>
      </c>
    </row>
    <row r="98" customFormat="false" ht="15" hidden="false" customHeight="false" outlineLevel="0" collapsed="false">
      <c r="A98" s="2" t="s">
        <v>91</v>
      </c>
    </row>
    <row r="99" customFormat="false" ht="15" hidden="false" customHeight="false" outlineLevel="0" collapsed="false">
      <c r="A99" s="2" t="s">
        <v>92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W57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pane xSplit="1" ySplit="1" topLeftCell="B2" activePane="bottomRight" state="frozen"/>
      <selection pane="topLeft" activeCell="A1" activeCellId="0" sqref="A1"/>
      <selection pane="topRight" activeCell="B1" activeCellId="0" sqref="B1"/>
      <selection pane="bottomLeft" activeCell="A2" activeCellId="0" sqref="A2"/>
      <selection pane="bottomRigh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7"/>
    <col collapsed="false" customWidth="true" hidden="false" outlineLevel="0" max="2" min="2" style="0" width="12"/>
    <col collapsed="false" customWidth="true" hidden="false" outlineLevel="0" max="5" min="3" style="0" width="10"/>
    <col collapsed="false" customWidth="true" hidden="false" outlineLevel="0" max="6" min="6" style="0" width="60"/>
    <col collapsed="false" customWidth="true" hidden="false" outlineLevel="0" max="7" min="7" style="0" width="8"/>
    <col collapsed="false" customWidth="true" hidden="false" outlineLevel="0" max="11" min="8" style="0" width="12"/>
    <col collapsed="false" customWidth="true" hidden="false" outlineLevel="0" max="12" min="12" style="0" width="10"/>
    <col collapsed="false" customWidth="true" hidden="false" outlineLevel="0" max="14" min="13" style="0" width="13"/>
    <col collapsed="false" customWidth="true" hidden="false" outlineLevel="0" max="15" min="15" style="0" width="12"/>
    <col collapsed="false" customWidth="true" hidden="false" outlineLevel="0" max="16" min="16" style="0" width="9"/>
    <col collapsed="false" customWidth="true" hidden="false" outlineLevel="0" max="17" min="17" style="0" width="8"/>
    <col collapsed="false" customWidth="true" hidden="false" outlineLevel="0" max="18" min="18" style="0" width="11"/>
    <col collapsed="false" customWidth="true" hidden="false" outlineLevel="0" max="20" min="19" style="0" width="14"/>
    <col collapsed="false" customWidth="true" hidden="false" outlineLevel="0" max="21" min="21" style="0" width="9"/>
    <col collapsed="false" customWidth="true" hidden="false" outlineLevel="0" max="23" min="22" style="0" width="13"/>
  </cols>
  <sheetData>
    <row r="1" customFormat="false" ht="15" hidden="false" customHeight="false" outlineLevel="0" collapsed="false">
      <c r="A1" s="0" t="s">
        <v>57</v>
      </c>
      <c r="B1" s="0" t="s">
        <v>93</v>
      </c>
      <c r="C1" s="0" t="s">
        <v>94</v>
      </c>
      <c r="D1" s="0" t="s">
        <v>95</v>
      </c>
      <c r="E1" s="0" t="s">
        <v>96</v>
      </c>
      <c r="F1" s="0" t="s">
        <v>97</v>
      </c>
      <c r="G1" s="0" t="s">
        <v>33</v>
      </c>
      <c r="H1" s="0" t="s">
        <v>64</v>
      </c>
      <c r="I1" s="0" t="s">
        <v>98</v>
      </c>
      <c r="J1" s="0" t="s">
        <v>29</v>
      </c>
      <c r="K1" s="0" t="s">
        <v>30</v>
      </c>
      <c r="L1" s="0" t="s">
        <v>31</v>
      </c>
      <c r="M1" s="0" t="s">
        <v>99</v>
      </c>
      <c r="N1" s="0" t="s">
        <v>100</v>
      </c>
      <c r="O1" s="0" t="s">
        <v>101</v>
      </c>
      <c r="P1" s="0" t="s">
        <v>102</v>
      </c>
      <c r="Q1" s="0" t="s">
        <v>103</v>
      </c>
      <c r="R1" s="0" t="s">
        <v>104</v>
      </c>
      <c r="S1" s="0" t="s">
        <v>105</v>
      </c>
      <c r="T1" s="0" t="s">
        <v>106</v>
      </c>
      <c r="U1" s="0" t="s">
        <v>107</v>
      </c>
      <c r="V1" s="0" t="s">
        <v>108</v>
      </c>
      <c r="W1" s="0" t="s">
        <v>109</v>
      </c>
    </row>
    <row r="2" customFormat="false" ht="23.85" hidden="false" customHeight="false" outlineLevel="0" collapsed="false">
      <c r="A2" s="27" t="n">
        <v>1</v>
      </c>
      <c r="B2" s="27" t="s">
        <v>110</v>
      </c>
      <c r="C2" s="8" t="n">
        <v>63.8</v>
      </c>
      <c r="D2" s="8" t="n">
        <v>38.44</v>
      </c>
      <c r="E2" s="29" t="n">
        <f aca="false">D2/C2-1</f>
        <v>-0.397492163009404</v>
      </c>
      <c r="F2" s="34" t="s">
        <v>111</v>
      </c>
      <c r="G2" s="4" t="n">
        <f aca="false">COUNTIF(Trades!$B$2:$B$94,A2)</f>
        <v>2</v>
      </c>
      <c r="H2" s="30" t="n">
        <f aca="false">SUMIF(Trades!$B$2:$B$94,A2,Trades!$I$2:$I$94)</f>
        <v>88</v>
      </c>
      <c r="I2" s="30" t="n">
        <f aca="false">SUMIF(Trades!$B$2:$B$94,A2,Trades!$N$2:$N$94)</f>
        <v>709</v>
      </c>
      <c r="J2" s="30" t="n">
        <f aca="false">H2-I2</f>
        <v>-621</v>
      </c>
      <c r="K2" s="35" t="n">
        <v>-256</v>
      </c>
      <c r="L2" s="35" t="n">
        <v>4.6</v>
      </c>
      <c r="M2" s="36" t="n">
        <f aca="false">Summary!$C$5</f>
        <v>7500</v>
      </c>
      <c r="N2" s="30" t="n">
        <f aca="false">M2+J2+K2+L2</f>
        <v>6627.6</v>
      </c>
      <c r="O2" s="30" t="n">
        <f aca="false">N2-M2</f>
        <v>-872.4</v>
      </c>
      <c r="P2" s="32" t="n">
        <f aca="false">O2/M2</f>
        <v>-0.11632</v>
      </c>
      <c r="Q2" s="4" t="str">
        <f aca="false">IF(P2&gt;=Summary!$C$7,"Yes","No")</f>
        <v>No</v>
      </c>
      <c r="R2" s="29" t="n">
        <f aca="false">N2/Summary!$C$5-1</f>
        <v>-0.11632</v>
      </c>
      <c r="S2" s="30" t="n">
        <f aca="false">Summary!$C$5*(1+Summary!$C$7)^A2</f>
        <v>7575</v>
      </c>
      <c r="T2" s="30" t="n">
        <f aca="false">N2-S2</f>
        <v>-947.4</v>
      </c>
      <c r="U2" s="27" t="n">
        <v>100</v>
      </c>
      <c r="V2" s="30" t="n">
        <f aca="false">Summary!$C$5*D2/Summary!$C$8</f>
        <v>4518.80877742947</v>
      </c>
      <c r="W2" s="30" t="n">
        <f aca="false">Summary!$C$5*(1+Summary!$C$6*7*A2/365)</f>
        <v>7505.75342465753</v>
      </c>
    </row>
    <row r="3" customFormat="false" ht="23.85" hidden="false" customHeight="false" outlineLevel="0" collapsed="false">
      <c r="A3" s="27" t="n">
        <v>2</v>
      </c>
      <c r="B3" s="27" t="s">
        <v>112</v>
      </c>
      <c r="C3" s="8" t="n">
        <v>38.44</v>
      </c>
      <c r="D3" s="8" t="n">
        <v>37.75</v>
      </c>
      <c r="E3" s="29" t="n">
        <f aca="false">D3/C3-1</f>
        <v>-0.0179500520291362</v>
      </c>
      <c r="F3" s="34" t="s">
        <v>113</v>
      </c>
      <c r="G3" s="4" t="n">
        <f aca="false">COUNTIF(Trades!$B$2:$B$94,A3)</f>
        <v>2</v>
      </c>
      <c r="H3" s="30" t="n">
        <f aca="false">SUMIF(Trades!$B$2:$B$94,A3,Trades!$I$2:$I$94)</f>
        <v>113</v>
      </c>
      <c r="I3" s="30" t="n">
        <f aca="false">SUMIF(Trades!$B$2:$B$94,A3,Trades!$N$2:$N$94)</f>
        <v>1</v>
      </c>
      <c r="J3" s="30" t="n">
        <f aca="false">H3-I3</f>
        <v>112</v>
      </c>
      <c r="K3" s="35" t="n">
        <v>-69</v>
      </c>
      <c r="L3" s="35" t="n">
        <v>2.22</v>
      </c>
      <c r="M3" s="30" t="n">
        <f aca="false">N2</f>
        <v>6627.6</v>
      </c>
      <c r="N3" s="30" t="n">
        <f aca="false">M3+J3+K3+L3</f>
        <v>6672.82</v>
      </c>
      <c r="O3" s="30" t="n">
        <f aca="false">N3-M3</f>
        <v>45.2200000000003</v>
      </c>
      <c r="P3" s="32" t="n">
        <f aca="false">O3/M3</f>
        <v>0.00682298267849602</v>
      </c>
      <c r="Q3" s="4" t="str">
        <f aca="false">IF(P3&gt;=Summary!$C$7,"Yes","No")</f>
        <v>No</v>
      </c>
      <c r="R3" s="29" t="n">
        <f aca="false">N3/Summary!$C$5-1</f>
        <v>-0.110290666666667</v>
      </c>
      <c r="S3" s="30" t="n">
        <f aca="false">Summary!$C$5*(1+Summary!$C$7)^A3</f>
        <v>7650.75</v>
      </c>
      <c r="T3" s="30" t="n">
        <f aca="false">N3-S3</f>
        <v>-977.929999999999</v>
      </c>
      <c r="U3" s="27" t="n">
        <v>100</v>
      </c>
      <c r="V3" s="30" t="n">
        <f aca="false">Summary!$C$5*D3/Summary!$C$8</f>
        <v>4437.69592476489</v>
      </c>
      <c r="W3" s="30" t="n">
        <f aca="false">Summary!$C$5*(1+Summary!$C$6*7*A3/365)</f>
        <v>7511.50684931507</v>
      </c>
    </row>
    <row r="4" customFormat="false" ht="15" hidden="false" customHeight="false" outlineLevel="0" collapsed="false">
      <c r="A4" s="27" t="n">
        <v>3</v>
      </c>
      <c r="B4" s="27" t="s">
        <v>112</v>
      </c>
      <c r="C4" s="8" t="n">
        <v>37.75</v>
      </c>
      <c r="D4" s="8" t="n">
        <v>36.53</v>
      </c>
      <c r="E4" s="29" t="n">
        <f aca="false">D4/C4-1</f>
        <v>-0.032317880794702</v>
      </c>
      <c r="F4" s="34" t="s">
        <v>114</v>
      </c>
      <c r="G4" s="4" t="n">
        <f aca="false">COUNTIF(Trades!$B$2:$B$94,A4)</f>
        <v>1</v>
      </c>
      <c r="H4" s="30" t="n">
        <f aca="false">SUMIF(Trades!$B$2:$B$94,A4,Trades!$I$2:$I$94)</f>
        <v>23</v>
      </c>
      <c r="I4" s="30" t="n">
        <f aca="false">SUMIF(Trades!$B$2:$B$94,A4,Trades!$N$2:$N$94)</f>
        <v>0</v>
      </c>
      <c r="J4" s="30" t="n">
        <f aca="false">H4-I4</f>
        <v>23</v>
      </c>
      <c r="K4" s="35" t="n">
        <v>-122</v>
      </c>
      <c r="L4" s="35" t="n">
        <v>2.23</v>
      </c>
      <c r="M4" s="30" t="n">
        <f aca="false">N3</f>
        <v>6672.82</v>
      </c>
      <c r="N4" s="30" t="n">
        <f aca="false">M4+J4+K4+L4</f>
        <v>6576.05</v>
      </c>
      <c r="O4" s="30" t="n">
        <f aca="false">N4-M4</f>
        <v>-96.7700000000004</v>
      </c>
      <c r="P4" s="32" t="n">
        <f aca="false">O4/M4</f>
        <v>-0.014502114548272</v>
      </c>
      <c r="Q4" s="4" t="str">
        <f aca="false">IF(P4&gt;=Summary!$C$7,"Yes","No")</f>
        <v>No</v>
      </c>
      <c r="R4" s="29" t="n">
        <f aca="false">N4/Summary!$C$5-1</f>
        <v>-0.123193333333333</v>
      </c>
      <c r="S4" s="30" t="n">
        <f aca="false">Summary!$C$5*(1+Summary!$C$7)^A4</f>
        <v>7727.2575</v>
      </c>
      <c r="T4" s="30" t="n">
        <f aca="false">N4-S4</f>
        <v>-1151.2075</v>
      </c>
      <c r="U4" s="27" t="n">
        <v>100</v>
      </c>
      <c r="V4" s="30" t="n">
        <f aca="false">Summary!$C$5*D4/Summary!$C$8</f>
        <v>4294.2789968652</v>
      </c>
      <c r="W4" s="30" t="n">
        <f aca="false">Summary!$C$5*(1+Summary!$C$6*7*A4/365)</f>
        <v>7517.2602739726</v>
      </c>
    </row>
    <row r="5" customFormat="false" ht="23.85" hidden="false" customHeight="false" outlineLevel="0" collapsed="false">
      <c r="A5" s="27" t="n">
        <v>4</v>
      </c>
      <c r="B5" s="27" t="s">
        <v>115</v>
      </c>
      <c r="C5" s="8" t="n">
        <v>36.53</v>
      </c>
      <c r="D5" s="8" t="n">
        <v>40.02</v>
      </c>
      <c r="E5" s="29" t="n">
        <f aca="false">D5/C5-1</f>
        <v>0.0955379140432522</v>
      </c>
      <c r="F5" s="34" t="s">
        <v>116</v>
      </c>
      <c r="G5" s="4" t="n">
        <f aca="false">COUNTIF(Trades!$B$2:$B$94,A5)</f>
        <v>2</v>
      </c>
      <c r="H5" s="30" t="n">
        <f aca="false">SUMIF(Trades!$B$2:$B$94,A5,Trades!$I$2:$I$94)</f>
        <v>46</v>
      </c>
      <c r="I5" s="30" t="n">
        <f aca="false">SUMIF(Trades!$B$2:$B$94,A5,Trades!$N$2:$N$94)</f>
        <v>0</v>
      </c>
      <c r="J5" s="30" t="n">
        <f aca="false">H5-I5</f>
        <v>46</v>
      </c>
      <c r="K5" s="35" t="n">
        <v>349</v>
      </c>
      <c r="L5" s="35" t="n">
        <v>2.28</v>
      </c>
      <c r="M5" s="30" t="n">
        <f aca="false">N4</f>
        <v>6576.05</v>
      </c>
      <c r="N5" s="30" t="n">
        <f aca="false">M5+J5+K5+L5</f>
        <v>6973.33</v>
      </c>
      <c r="O5" s="30" t="n">
        <f aca="false">N5-M5</f>
        <v>397.28</v>
      </c>
      <c r="P5" s="32" t="n">
        <f aca="false">O5/M5</f>
        <v>0.060413165958288</v>
      </c>
      <c r="Q5" s="4" t="str">
        <f aca="false">IF(P5&gt;=Summary!$C$7,"Yes","No")</f>
        <v>Yes</v>
      </c>
      <c r="R5" s="29" t="n">
        <f aca="false">N5/Summary!$C$5-1</f>
        <v>-0.0702226666666667</v>
      </c>
      <c r="S5" s="30" t="n">
        <f aca="false">Summary!$C$5*(1+Summary!$C$7)^A5</f>
        <v>7804.530075</v>
      </c>
      <c r="T5" s="30" t="n">
        <f aca="false">N5-S5</f>
        <v>-831.200075000001</v>
      </c>
      <c r="U5" s="27" t="n">
        <v>100</v>
      </c>
      <c r="V5" s="30" t="n">
        <f aca="false">Summary!$C$5*D5/Summary!$C$8</f>
        <v>4704.54545454546</v>
      </c>
      <c r="W5" s="30" t="n">
        <f aca="false">Summary!$C$5*(1+Summary!$C$6*7*A5/365)</f>
        <v>7523.01369863014</v>
      </c>
    </row>
    <row r="6" customFormat="false" ht="23.85" hidden="false" customHeight="false" outlineLevel="0" collapsed="false">
      <c r="A6" s="27" t="n">
        <v>5</v>
      </c>
      <c r="B6" s="27" t="s">
        <v>115</v>
      </c>
      <c r="C6" s="8" t="n">
        <v>40.02</v>
      </c>
      <c r="D6" s="8" t="n">
        <v>47.59</v>
      </c>
      <c r="E6" s="29" t="n">
        <f aca="false">D6/C6-1</f>
        <v>0.189155422288856</v>
      </c>
      <c r="F6" s="34" t="s">
        <v>117</v>
      </c>
      <c r="G6" s="4" t="n">
        <f aca="false">COUNTIF(Trades!$B$2:$B$94,A6)</f>
        <v>2</v>
      </c>
      <c r="H6" s="30" t="n">
        <f aca="false">SUMIF(Trades!$B$2:$B$94,A6,Trades!$I$2:$I$94)</f>
        <v>235</v>
      </c>
      <c r="I6" s="30" t="n">
        <f aca="false">SUMIF(Trades!$B$2:$B$94,A6,Trades!$N$2:$N$94)</f>
        <v>266</v>
      </c>
      <c r="J6" s="30" t="n">
        <f aca="false">H6-I6</f>
        <v>-31</v>
      </c>
      <c r="K6" s="35" t="n">
        <v>448</v>
      </c>
      <c r="L6" s="35" t="n">
        <v>3.27</v>
      </c>
      <c r="M6" s="30" t="n">
        <f aca="false">N5</f>
        <v>6973.33</v>
      </c>
      <c r="N6" s="30" t="n">
        <f aca="false">M6+J6+K6+L6</f>
        <v>7393.6</v>
      </c>
      <c r="O6" s="30" t="n">
        <f aca="false">N6-M6</f>
        <v>420.27</v>
      </c>
      <c r="P6" s="32" t="n">
        <f aca="false">O6/M6</f>
        <v>0.0602681932448343</v>
      </c>
      <c r="Q6" s="4" t="str">
        <f aca="false">IF(P6&gt;=Summary!$C$7,"Yes","No")</f>
        <v>Yes</v>
      </c>
      <c r="R6" s="29" t="n">
        <f aca="false">N6/Summary!$C$5-1</f>
        <v>-0.0141866666666666</v>
      </c>
      <c r="S6" s="30" t="n">
        <f aca="false">Summary!$C$5*(1+Summary!$C$7)^A6</f>
        <v>7882.57537575</v>
      </c>
      <c r="T6" s="30" t="n">
        <f aca="false">N6-S6</f>
        <v>-488.975375750001</v>
      </c>
      <c r="U6" s="27" t="n">
        <v>0</v>
      </c>
      <c r="V6" s="30" t="n">
        <f aca="false">Summary!$C$5*D6/Summary!$C$8</f>
        <v>5594.43573667712</v>
      </c>
      <c r="W6" s="30" t="n">
        <f aca="false">Summary!$C$5*(1+Summary!$C$6*7*A6/365)</f>
        <v>7528.76712328767</v>
      </c>
    </row>
    <row r="7" customFormat="false" ht="15" hidden="false" customHeight="false" outlineLevel="0" collapsed="false">
      <c r="A7" s="27" t="n">
        <v>6</v>
      </c>
      <c r="B7" s="27" t="s">
        <v>118</v>
      </c>
      <c r="C7" s="8" t="n">
        <v>47.59</v>
      </c>
      <c r="D7" s="8" t="n">
        <v>46.18</v>
      </c>
      <c r="E7" s="29" t="n">
        <f aca="false">D7/C7-1</f>
        <v>-0.0296280731246061</v>
      </c>
      <c r="F7" s="34" t="s">
        <v>119</v>
      </c>
      <c r="G7" s="4" t="n">
        <f aca="false">COUNTIF(Trades!$B$2:$B$94,A7)</f>
        <v>1</v>
      </c>
      <c r="H7" s="30" t="n">
        <f aca="false">SUMIF(Trades!$B$2:$B$94,A7,Trades!$I$2:$I$94)</f>
        <v>46</v>
      </c>
      <c r="I7" s="30" t="n">
        <f aca="false">SUMIF(Trades!$B$2:$B$94,A7,Trades!$N$2:$N$94)</f>
        <v>0</v>
      </c>
      <c r="J7" s="30" t="n">
        <f aca="false">H7-I7</f>
        <v>46</v>
      </c>
      <c r="K7" s="35" t="n">
        <v>0</v>
      </c>
      <c r="L7" s="35" t="n">
        <v>5.71</v>
      </c>
      <c r="M7" s="30" t="n">
        <f aca="false">N6</f>
        <v>7393.6</v>
      </c>
      <c r="N7" s="30" t="n">
        <f aca="false">M7+J7+K7+L7</f>
        <v>7445.31</v>
      </c>
      <c r="O7" s="30" t="n">
        <f aca="false">N7-M7</f>
        <v>51.71</v>
      </c>
      <c r="P7" s="32" t="n">
        <f aca="false">O7/M7</f>
        <v>0.00699388660463104</v>
      </c>
      <c r="Q7" s="4" t="str">
        <f aca="false">IF(P7&gt;=Summary!$C$7,"Yes","No")</f>
        <v>No</v>
      </c>
      <c r="R7" s="29" t="n">
        <f aca="false">N7/Summary!$C$5-1</f>
        <v>-0.00729199999999997</v>
      </c>
      <c r="S7" s="30" t="n">
        <f aca="false">Summary!$C$5*(1+Summary!$C$7)^A7</f>
        <v>7961.4011295075</v>
      </c>
      <c r="T7" s="30" t="n">
        <f aca="false">N7-S7</f>
        <v>-516.0911295075</v>
      </c>
      <c r="U7" s="27" t="n">
        <v>0</v>
      </c>
      <c r="V7" s="30" t="n">
        <f aca="false">Summary!$C$5*D7/Summary!$C$8</f>
        <v>5428.68338557994</v>
      </c>
      <c r="W7" s="30" t="n">
        <f aca="false">Summary!$C$5*(1+Summary!$C$6*7*A7/365)</f>
        <v>7534.52054794521</v>
      </c>
    </row>
    <row r="8" customFormat="false" ht="23.85" hidden="false" customHeight="false" outlineLevel="0" collapsed="false">
      <c r="A8" s="27" t="n">
        <v>7</v>
      </c>
      <c r="B8" s="27" t="s">
        <v>118</v>
      </c>
      <c r="C8" s="8" t="n">
        <v>46.18</v>
      </c>
      <c r="D8" s="8" t="n">
        <v>53.08</v>
      </c>
      <c r="E8" s="29" t="n">
        <f aca="false">D8/C8-1</f>
        <v>0.149415331312256</v>
      </c>
      <c r="F8" s="34" t="s">
        <v>120</v>
      </c>
      <c r="G8" s="4" t="n">
        <f aca="false">COUNTIF(Trades!$B$2:$B$94,A8)</f>
        <v>2</v>
      </c>
      <c r="H8" s="30" t="n">
        <f aca="false">SUMIF(Trades!$B$2:$B$94,A8,Trades!$I$2:$I$94)</f>
        <v>63</v>
      </c>
      <c r="I8" s="30" t="n">
        <f aca="false">SUMIF(Trades!$B$2:$B$94,A8,Trades!$N$2:$N$94)</f>
        <v>1</v>
      </c>
      <c r="J8" s="30" t="n">
        <f aca="false">H8-I8</f>
        <v>62</v>
      </c>
      <c r="K8" s="35" t="n">
        <v>0</v>
      </c>
      <c r="L8" s="35" t="n">
        <v>5.75</v>
      </c>
      <c r="M8" s="30" t="n">
        <f aca="false">N7</f>
        <v>7445.31</v>
      </c>
      <c r="N8" s="30" t="n">
        <f aca="false">M8+J8+K8+L8</f>
        <v>7513.06</v>
      </c>
      <c r="O8" s="30" t="n">
        <f aca="false">N8-M8</f>
        <v>67.75</v>
      </c>
      <c r="P8" s="32" t="n">
        <f aca="false">O8/M8</f>
        <v>0.00909968826012617</v>
      </c>
      <c r="Q8" s="4" t="str">
        <f aca="false">IF(P8&gt;=Summary!$C$7,"Yes","No")</f>
        <v>No</v>
      </c>
      <c r="R8" s="29" t="n">
        <f aca="false">N8/Summary!$C$5-1</f>
        <v>0.00174133333333337</v>
      </c>
      <c r="S8" s="30" t="n">
        <f aca="false">Summary!$C$5*(1+Summary!$C$7)^A8</f>
        <v>8041.01514080258</v>
      </c>
      <c r="T8" s="30" t="n">
        <f aca="false">N8-S8</f>
        <v>-527.955140802575</v>
      </c>
      <c r="U8" s="27" t="n">
        <v>0</v>
      </c>
      <c r="V8" s="30" t="n">
        <f aca="false">Summary!$C$5*D8/Summary!$C$8</f>
        <v>6239.81191222571</v>
      </c>
      <c r="W8" s="30" t="n">
        <f aca="false">Summary!$C$5*(1+Summary!$C$6*7*A8/365)</f>
        <v>7540.27397260274</v>
      </c>
    </row>
    <row r="9" customFormat="false" ht="15" hidden="false" customHeight="false" outlineLevel="0" collapsed="false">
      <c r="A9" s="27" t="n">
        <v>8</v>
      </c>
      <c r="B9" s="27" t="s">
        <v>110</v>
      </c>
      <c r="C9" s="8" t="n">
        <v>53.08</v>
      </c>
      <c r="D9" s="8" t="n">
        <v>55.21</v>
      </c>
      <c r="E9" s="29" t="n">
        <f aca="false">D9/C9-1</f>
        <v>0.0401281085154483</v>
      </c>
      <c r="F9" s="34" t="s">
        <v>121</v>
      </c>
      <c r="G9" s="4" t="n">
        <f aca="false">COUNTIF(Trades!$B$2:$B$94,A9)</f>
        <v>1</v>
      </c>
      <c r="H9" s="30" t="n">
        <f aca="false">SUMIF(Trades!$B$2:$B$94,A9,Trades!$I$2:$I$94)</f>
        <v>49</v>
      </c>
      <c r="I9" s="30" t="n">
        <f aca="false">SUMIF(Trades!$B$2:$B$94,A9,Trades!$N$2:$N$94)</f>
        <v>0</v>
      </c>
      <c r="J9" s="30" t="n">
        <f aca="false">H9-I9</f>
        <v>49</v>
      </c>
      <c r="K9" s="35" t="n">
        <v>0</v>
      </c>
      <c r="L9" s="35" t="n">
        <v>5.8</v>
      </c>
      <c r="M9" s="30" t="n">
        <f aca="false">N8</f>
        <v>7513.06</v>
      </c>
      <c r="N9" s="30" t="n">
        <f aca="false">M9+J9+K9+L9</f>
        <v>7567.86</v>
      </c>
      <c r="O9" s="30" t="n">
        <f aca="false">N9-M9</f>
        <v>54.8000000000002</v>
      </c>
      <c r="P9" s="32" t="n">
        <f aca="false">O9/M9</f>
        <v>0.00729396544151121</v>
      </c>
      <c r="Q9" s="4" t="str">
        <f aca="false">IF(P9&gt;=Summary!$C$7,"Yes","No")</f>
        <v>No</v>
      </c>
      <c r="R9" s="29" t="n">
        <f aca="false">N9/Summary!$C$5-1</f>
        <v>0.00904800000000017</v>
      </c>
      <c r="S9" s="30" t="n">
        <f aca="false">Summary!$C$5*(1+Summary!$C$7)^A9</f>
        <v>8121.4252922106</v>
      </c>
      <c r="T9" s="30" t="n">
        <f aca="false">N9-S9</f>
        <v>-553.565292210601</v>
      </c>
      <c r="U9" s="27" t="n">
        <v>0</v>
      </c>
      <c r="V9" s="30" t="n">
        <f aca="false">Summary!$C$5*D9/Summary!$C$8</f>
        <v>6490.20376175549</v>
      </c>
      <c r="W9" s="30" t="n">
        <f aca="false">Summary!$C$5*(1+Summary!$C$6*7*A9/365)</f>
        <v>7546.02739726027</v>
      </c>
    </row>
    <row r="10" customFormat="false" ht="23.85" hidden="false" customHeight="false" outlineLevel="0" collapsed="false">
      <c r="A10" s="27" t="n">
        <v>9</v>
      </c>
      <c r="B10" s="27" t="s">
        <v>112</v>
      </c>
      <c r="C10" s="8" t="n">
        <v>55.21</v>
      </c>
      <c r="D10" s="8" t="n">
        <v>58.89</v>
      </c>
      <c r="E10" s="29" t="n">
        <f aca="false">D10/C10-1</f>
        <v>0.0666545915595</v>
      </c>
      <c r="F10" s="34" t="s">
        <v>122</v>
      </c>
      <c r="G10" s="4" t="n">
        <f aca="false">COUNTIF(Trades!$B$2:$B$94,A10)</f>
        <v>2</v>
      </c>
      <c r="H10" s="30" t="n">
        <f aca="false">SUMIF(Trades!$B$2:$B$94,A10,Trades!$I$2:$I$94)</f>
        <v>96</v>
      </c>
      <c r="I10" s="30" t="n">
        <f aca="false">SUMIF(Trades!$B$2:$B$94,A10,Trades!$N$2:$N$94)</f>
        <v>2</v>
      </c>
      <c r="J10" s="30" t="n">
        <f aca="false">H10-I10</f>
        <v>94</v>
      </c>
      <c r="K10" s="35" t="n">
        <v>0</v>
      </c>
      <c r="L10" s="35" t="n">
        <v>5.88</v>
      </c>
      <c r="M10" s="30" t="n">
        <f aca="false">N9</f>
        <v>7567.86</v>
      </c>
      <c r="N10" s="30" t="n">
        <f aca="false">M10+J10+K10+L10</f>
        <v>7667.74</v>
      </c>
      <c r="O10" s="30" t="n">
        <f aca="false">N10-M10</f>
        <v>99.8800000000001</v>
      </c>
      <c r="P10" s="32" t="n">
        <f aca="false">O10/M10</f>
        <v>0.0131979185661469</v>
      </c>
      <c r="Q10" s="4" t="str">
        <f aca="false">IF(P10&gt;=Summary!$C$7,"Yes","No")</f>
        <v>Yes</v>
      </c>
      <c r="R10" s="29" t="n">
        <f aca="false">N10/Summary!$C$5-1</f>
        <v>0.0223653333333333</v>
      </c>
      <c r="S10" s="30" t="n">
        <f aca="false">Summary!$C$5*(1+Summary!$C$7)^A10</f>
        <v>8202.63954513271</v>
      </c>
      <c r="T10" s="30" t="n">
        <f aca="false">N10-S10</f>
        <v>-534.899545132706</v>
      </c>
      <c r="U10" s="27" t="n">
        <v>0</v>
      </c>
      <c r="V10" s="30" t="n">
        <f aca="false">Summary!$C$5*D10/Summary!$C$8</f>
        <v>6922.80564263323</v>
      </c>
      <c r="W10" s="30" t="n">
        <f aca="false">Summary!$C$5*(1+Summary!$C$6*7*A10/365)</f>
        <v>7551.78082191781</v>
      </c>
    </row>
    <row r="11" customFormat="false" ht="23.85" hidden="false" customHeight="false" outlineLevel="0" collapsed="false">
      <c r="A11" s="27" t="n">
        <v>10</v>
      </c>
      <c r="B11" s="27" t="s">
        <v>118</v>
      </c>
      <c r="C11" s="8" t="n">
        <v>58.89</v>
      </c>
      <c r="D11" s="8" t="n">
        <v>60.22</v>
      </c>
      <c r="E11" s="29" t="n">
        <f aca="false">D11/C11-1</f>
        <v>0.0225844795381218</v>
      </c>
      <c r="F11" s="34" t="s">
        <v>123</v>
      </c>
      <c r="G11" s="4" t="n">
        <f aca="false">COUNTIF(Trades!$B$2:$B$94,A11)</f>
        <v>2</v>
      </c>
      <c r="H11" s="30" t="n">
        <f aca="false">SUMIF(Trades!$B$2:$B$94,A11,Trades!$I$2:$I$94)</f>
        <v>96</v>
      </c>
      <c r="I11" s="30" t="n">
        <f aca="false">SUMIF(Trades!$B$2:$B$94,A11,Trades!$N$2:$N$94)</f>
        <v>27</v>
      </c>
      <c r="J11" s="30" t="n">
        <f aca="false">H11-I11</f>
        <v>69</v>
      </c>
      <c r="K11" s="35" t="n">
        <v>0</v>
      </c>
      <c r="L11" s="35" t="n">
        <v>5.93</v>
      </c>
      <c r="M11" s="30" t="n">
        <f aca="false">N10</f>
        <v>7667.74</v>
      </c>
      <c r="N11" s="30" t="n">
        <f aca="false">M11+J11+K11+L11</f>
        <v>7742.67</v>
      </c>
      <c r="O11" s="30" t="n">
        <f aca="false">N11-M11</f>
        <v>74.9300000000003</v>
      </c>
      <c r="P11" s="32" t="n">
        <f aca="false">O11/M11</f>
        <v>0.00977211016544644</v>
      </c>
      <c r="Q11" s="4" t="str">
        <f aca="false">IF(P11&gt;=Summary!$C$7,"Yes","No")</f>
        <v>No</v>
      </c>
      <c r="R11" s="29" t="n">
        <f aca="false">N11/Summary!$C$5-1</f>
        <v>0.0323560000000001</v>
      </c>
      <c r="S11" s="30" t="n">
        <f aca="false">Summary!$C$5*(1+Summary!$C$7)^A11</f>
        <v>8284.66594058404</v>
      </c>
      <c r="T11" s="30" t="n">
        <f aca="false">N11-S11</f>
        <v>-541.995940584034</v>
      </c>
      <c r="U11" s="27" t="n">
        <v>0</v>
      </c>
      <c r="V11" s="30" t="n">
        <f aca="false">Summary!$C$5*D11/Summary!$C$8</f>
        <v>7079.15360501568</v>
      </c>
      <c r="W11" s="30" t="n">
        <f aca="false">Summary!$C$5*(1+Summary!$C$6*7*A11/365)</f>
        <v>7557.53424657534</v>
      </c>
    </row>
    <row r="12" customFormat="false" ht="23.85" hidden="false" customHeight="false" outlineLevel="0" collapsed="false">
      <c r="A12" s="27" t="n">
        <v>11</v>
      </c>
      <c r="B12" s="27" t="s">
        <v>115</v>
      </c>
      <c r="C12" s="8" t="n">
        <v>60.22</v>
      </c>
      <c r="D12" s="8" t="n">
        <v>66.23</v>
      </c>
      <c r="E12" s="29" t="n">
        <f aca="false">D12/C12-1</f>
        <v>0.0998007306542679</v>
      </c>
      <c r="F12" s="34" t="s">
        <v>124</v>
      </c>
      <c r="G12" s="4" t="n">
        <f aca="false">COUNTIF(Trades!$B$2:$B$94,A12)</f>
        <v>2</v>
      </c>
      <c r="H12" s="30" t="n">
        <f aca="false">SUMIF(Trades!$B$2:$B$94,A12,Trades!$I$2:$I$94)</f>
        <v>89</v>
      </c>
      <c r="I12" s="30" t="n">
        <f aca="false">SUMIF(Trades!$B$2:$B$94,A12,Trades!$N$2:$N$94)</f>
        <v>1</v>
      </c>
      <c r="J12" s="30" t="n">
        <f aca="false">H12-I12</f>
        <v>88</v>
      </c>
      <c r="K12" s="35" t="n">
        <v>0</v>
      </c>
      <c r="L12" s="35" t="n">
        <v>6</v>
      </c>
      <c r="M12" s="30" t="n">
        <f aca="false">N11</f>
        <v>7742.67</v>
      </c>
      <c r="N12" s="30" t="n">
        <f aca="false">M12+J12+K12+L12</f>
        <v>7836.67</v>
      </c>
      <c r="O12" s="30" t="n">
        <f aca="false">N12-M12</f>
        <v>94</v>
      </c>
      <c r="P12" s="32" t="n">
        <f aca="false">O12/M12</f>
        <v>0.0121405148353217</v>
      </c>
      <c r="Q12" s="4" t="str">
        <f aca="false">IF(P12&gt;=Summary!$C$7,"Yes","No")</f>
        <v>Yes</v>
      </c>
      <c r="R12" s="29" t="n">
        <f aca="false">N12/Summary!$C$5-1</f>
        <v>0.0448893333333336</v>
      </c>
      <c r="S12" s="30" t="n">
        <f aca="false">Summary!$C$5*(1+Summary!$C$7)^A12</f>
        <v>8367.51259998987</v>
      </c>
      <c r="T12" s="30" t="n">
        <f aca="false">N12-S12</f>
        <v>-530.842599989873</v>
      </c>
      <c r="U12" s="27" t="n">
        <v>0</v>
      </c>
      <c r="V12" s="30" t="n">
        <f aca="false">Summary!$C$5*D12/Summary!$C$8</f>
        <v>7785.65830721003</v>
      </c>
      <c r="W12" s="30" t="n">
        <f aca="false">Summary!$C$5*(1+Summary!$C$6*7*A12/365)</f>
        <v>7563.28767123288</v>
      </c>
    </row>
    <row r="13" customFormat="false" ht="15" hidden="false" customHeight="false" outlineLevel="0" collapsed="false">
      <c r="A13" s="27" t="n">
        <v>12</v>
      </c>
      <c r="B13" s="27" t="s">
        <v>112</v>
      </c>
      <c r="C13" s="8" t="n">
        <v>66.23</v>
      </c>
      <c r="D13" s="8" t="n">
        <v>67.1</v>
      </c>
      <c r="E13" s="29" t="n">
        <f aca="false">D13/C13-1</f>
        <v>0.0131360410690018</v>
      </c>
      <c r="F13" s="34" t="s">
        <v>125</v>
      </c>
      <c r="G13" s="4" t="n">
        <f aca="false">COUNTIF(Trades!$B$2:$B$94,A13)</f>
        <v>1</v>
      </c>
      <c r="H13" s="30" t="n">
        <f aca="false">SUMIF(Trades!$B$2:$B$94,A13,Trades!$I$2:$I$94)</f>
        <v>57</v>
      </c>
      <c r="I13" s="30" t="n">
        <f aca="false">SUMIF(Trades!$B$2:$B$94,A13,Trades!$N$2:$N$94)</f>
        <v>2</v>
      </c>
      <c r="J13" s="30" t="n">
        <f aca="false">H13-I13</f>
        <v>55</v>
      </c>
      <c r="K13" s="35" t="n">
        <v>0</v>
      </c>
      <c r="L13" s="35" t="n">
        <v>6.05</v>
      </c>
      <c r="M13" s="30" t="n">
        <f aca="false">N12</f>
        <v>7836.67</v>
      </c>
      <c r="N13" s="30" t="n">
        <f aca="false">M13+J13+K13+L13</f>
        <v>7897.72</v>
      </c>
      <c r="O13" s="30" t="n">
        <f aca="false">N13-M13</f>
        <v>61.0500000000002</v>
      </c>
      <c r="P13" s="32" t="n">
        <f aca="false">O13/M13</f>
        <v>0.00779029868553865</v>
      </c>
      <c r="Q13" s="4" t="str">
        <f aca="false">IF(P13&gt;=Summary!$C$7,"Yes","No")</f>
        <v>No</v>
      </c>
      <c r="R13" s="29" t="n">
        <f aca="false">N13/Summary!$C$5-1</f>
        <v>0.0530293333333336</v>
      </c>
      <c r="S13" s="30" t="n">
        <f aca="false">Summary!$C$5*(1+Summary!$C$7)^A13</f>
        <v>8451.18772598977</v>
      </c>
      <c r="T13" s="30" t="n">
        <f aca="false">N13-S13</f>
        <v>-553.467725989773</v>
      </c>
      <c r="U13" s="27" t="n">
        <v>0</v>
      </c>
      <c r="V13" s="30" t="n">
        <f aca="false">Summary!$C$5*D13/Summary!$C$8</f>
        <v>7887.93103448276</v>
      </c>
      <c r="W13" s="30" t="n">
        <f aca="false">Summary!$C$5*(1+Summary!$C$6*7*A13/365)</f>
        <v>7569.04109589041</v>
      </c>
    </row>
    <row r="14" customFormat="false" ht="23.85" hidden="false" customHeight="false" outlineLevel="0" collapsed="false">
      <c r="A14" s="27" t="n">
        <v>13</v>
      </c>
      <c r="B14" s="27" t="s">
        <v>112</v>
      </c>
      <c r="C14" s="8" t="n">
        <v>67.1</v>
      </c>
      <c r="D14" s="8" t="n">
        <v>66.69</v>
      </c>
      <c r="E14" s="29" t="n">
        <f aca="false">D14/C14-1</f>
        <v>-0.00611028315946349</v>
      </c>
      <c r="F14" s="34" t="s">
        <v>126</v>
      </c>
      <c r="G14" s="4" t="n">
        <f aca="false">COUNTIF(Trades!$B$2:$B$94,A14)</f>
        <v>2</v>
      </c>
      <c r="H14" s="30" t="n">
        <f aca="false">SUMIF(Trades!$B$2:$B$94,A14,Trades!$I$2:$I$94)</f>
        <v>79</v>
      </c>
      <c r="I14" s="30" t="n">
        <f aca="false">SUMIF(Trades!$B$2:$B$94,A14,Trades!$N$2:$N$94)</f>
        <v>44</v>
      </c>
      <c r="J14" s="30" t="n">
        <f aca="false">H14-I14</f>
        <v>35</v>
      </c>
      <c r="K14" s="35" t="n">
        <v>0</v>
      </c>
      <c r="L14" s="35" t="n">
        <v>6.09</v>
      </c>
      <c r="M14" s="30" t="n">
        <f aca="false">N13</f>
        <v>7897.72</v>
      </c>
      <c r="N14" s="30" t="n">
        <f aca="false">M14+J14+K14+L14</f>
        <v>7938.81</v>
      </c>
      <c r="O14" s="30" t="n">
        <f aca="false">N14-M14</f>
        <v>41.0900000000001</v>
      </c>
      <c r="P14" s="32" t="n">
        <f aca="false">O14/M14</f>
        <v>0.00520276738096566</v>
      </c>
      <c r="Q14" s="4" t="str">
        <f aca="false">IF(P14&gt;=Summary!$C$7,"Yes","No")</f>
        <v>No</v>
      </c>
      <c r="R14" s="29" t="n">
        <f aca="false">N14/Summary!$C$5-1</f>
        <v>0.0585080000000002</v>
      </c>
      <c r="S14" s="30" t="n">
        <f aca="false">Summary!$C$5*(1+Summary!$C$7)^A14</f>
        <v>8535.69960324967</v>
      </c>
      <c r="T14" s="30" t="n">
        <f aca="false">N14-S14</f>
        <v>-596.889603249671</v>
      </c>
      <c r="U14" s="27" t="n">
        <v>0</v>
      </c>
      <c r="V14" s="30" t="n">
        <f aca="false">Summary!$C$5*D14/Summary!$C$8</f>
        <v>7839.73354231975</v>
      </c>
      <c r="W14" s="30" t="n">
        <f aca="false">Summary!$C$5*(1+Summary!$C$6*7*A14/365)</f>
        <v>7574.79452054795</v>
      </c>
    </row>
    <row r="15" customFormat="false" ht="23.85" hidden="false" customHeight="false" outlineLevel="0" collapsed="false">
      <c r="A15" s="27" t="n">
        <v>14</v>
      </c>
      <c r="B15" s="27" t="s">
        <v>115</v>
      </c>
      <c r="C15" s="8" t="n">
        <v>66.69</v>
      </c>
      <c r="D15" s="8" t="n">
        <v>72.47</v>
      </c>
      <c r="E15" s="29" t="n">
        <f aca="false">D15/C15-1</f>
        <v>0.086669665617034</v>
      </c>
      <c r="F15" s="34" t="s">
        <v>127</v>
      </c>
      <c r="G15" s="4" t="n">
        <f aca="false">COUNTIF(Trades!$B$2:$B$94,A15)</f>
        <v>2</v>
      </c>
      <c r="H15" s="30" t="n">
        <f aca="false">SUMIF(Trades!$B$2:$B$94,A15,Trades!$I$2:$I$94)</f>
        <v>111</v>
      </c>
      <c r="I15" s="30" t="n">
        <f aca="false">SUMIF(Trades!$B$2:$B$94,A15,Trades!$N$2:$N$94)</f>
        <v>13</v>
      </c>
      <c r="J15" s="30" t="n">
        <f aca="false">H15-I15</f>
        <v>98</v>
      </c>
      <c r="K15" s="35" t="n">
        <v>0</v>
      </c>
      <c r="L15" s="35" t="n">
        <v>6.15</v>
      </c>
      <c r="M15" s="30" t="n">
        <f aca="false">N14</f>
        <v>7938.81</v>
      </c>
      <c r="N15" s="30" t="n">
        <f aca="false">M15+J15+K15+L15</f>
        <v>8042.96</v>
      </c>
      <c r="O15" s="30" t="n">
        <f aca="false">N15-M15</f>
        <v>104.15</v>
      </c>
      <c r="P15" s="32" t="n">
        <f aca="false">O15/M15</f>
        <v>0.0131190946753984</v>
      </c>
      <c r="Q15" s="4" t="str">
        <f aca="false">IF(P15&gt;=Summary!$C$7,"Yes","No")</f>
        <v>Yes</v>
      </c>
      <c r="R15" s="29" t="n">
        <f aca="false">N15/Summary!$C$5-1</f>
        <v>0.0723946666666668</v>
      </c>
      <c r="S15" s="30" t="n">
        <f aca="false">Summary!$C$5*(1+Summary!$C$7)^A15</f>
        <v>8621.05659928217</v>
      </c>
      <c r="T15" s="30" t="n">
        <f aca="false">N15-S15</f>
        <v>-578.096599282168</v>
      </c>
      <c r="U15" s="27" t="n">
        <v>0</v>
      </c>
      <c r="V15" s="30" t="n">
        <f aca="false">Summary!$C$5*D15/Summary!$C$8</f>
        <v>8519.20062695925</v>
      </c>
      <c r="W15" s="30" t="n">
        <f aca="false">Summary!$C$5*(1+Summary!$C$6*7*A15/365)</f>
        <v>7580.54794520548</v>
      </c>
    </row>
    <row r="16" customFormat="false" ht="23.85" hidden="false" customHeight="false" outlineLevel="0" collapsed="false">
      <c r="A16" s="27" t="n">
        <v>15</v>
      </c>
      <c r="B16" s="27" t="s">
        <v>128</v>
      </c>
      <c r="C16" s="8" t="n">
        <v>72.47</v>
      </c>
      <c r="D16" s="8" t="n">
        <v>78.18</v>
      </c>
      <c r="E16" s="29" t="n">
        <f aca="false">D16/C16-1</f>
        <v>0.0787912239547399</v>
      </c>
      <c r="F16" s="34" t="s">
        <v>129</v>
      </c>
      <c r="G16" s="4" t="n">
        <f aca="false">COUNTIF(Trades!$B$2:$B$94,A16)</f>
        <v>2</v>
      </c>
      <c r="H16" s="30" t="n">
        <f aca="false">SUMIF(Trades!$B$2:$B$94,A16,Trades!$I$2:$I$94)</f>
        <v>104</v>
      </c>
      <c r="I16" s="30" t="n">
        <f aca="false">SUMIF(Trades!$B$2:$B$94,A16,Trades!$N$2:$N$94)</f>
        <v>1</v>
      </c>
      <c r="J16" s="30" t="n">
        <f aca="false">H16-I16</f>
        <v>103</v>
      </c>
      <c r="K16" s="35" t="n">
        <v>0</v>
      </c>
      <c r="L16" s="35" t="n">
        <v>6.24</v>
      </c>
      <c r="M16" s="30" t="n">
        <f aca="false">N15</f>
        <v>8042.96</v>
      </c>
      <c r="N16" s="30" t="n">
        <f aca="false">M16+J16+K16+L16</f>
        <v>8152.2</v>
      </c>
      <c r="O16" s="30" t="n">
        <f aca="false">N16-M16</f>
        <v>109.24</v>
      </c>
      <c r="P16" s="32" t="n">
        <f aca="false">O16/M16</f>
        <v>0.0135820643146304</v>
      </c>
      <c r="Q16" s="4" t="str">
        <f aca="false">IF(P16&gt;=Summary!$C$7,"Yes","No")</f>
        <v>Yes</v>
      </c>
      <c r="R16" s="29" t="n">
        <f aca="false">N16/Summary!$C$5-1</f>
        <v>0.0869600000000002</v>
      </c>
      <c r="S16" s="30" t="n">
        <f aca="false">Summary!$C$5*(1+Summary!$C$7)^A16</f>
        <v>8707.26716527499</v>
      </c>
      <c r="T16" s="30" t="n">
        <f aca="false">N16-S16</f>
        <v>-555.06716527499</v>
      </c>
      <c r="U16" s="27" t="n">
        <v>0</v>
      </c>
      <c r="V16" s="30" t="n">
        <f aca="false">Summary!$C$5*D16/Summary!$C$8</f>
        <v>9190.43887147335</v>
      </c>
      <c r="W16" s="30" t="n">
        <f aca="false">Summary!$C$5*(1+Summary!$C$6*7*A16/365)</f>
        <v>7586.30136986301</v>
      </c>
    </row>
    <row r="17" customFormat="false" ht="15" hidden="false" customHeight="false" outlineLevel="0" collapsed="false">
      <c r="A17" s="27" t="n">
        <v>16</v>
      </c>
      <c r="B17" s="27" t="s">
        <v>128</v>
      </c>
      <c r="C17" s="8" t="n">
        <v>78.18</v>
      </c>
      <c r="D17" s="8" t="n">
        <v>71.26</v>
      </c>
      <c r="E17" s="29" t="n">
        <f aca="false">D17/C17-1</f>
        <v>-0.0885136863647992</v>
      </c>
      <c r="F17" s="34" t="s">
        <v>130</v>
      </c>
      <c r="G17" s="4" t="n">
        <f aca="false">COUNTIF(Trades!$B$2:$B$94,A17)</f>
        <v>1</v>
      </c>
      <c r="H17" s="30" t="n">
        <f aca="false">SUMIF(Trades!$B$2:$B$94,A17,Trades!$I$2:$I$94)</f>
        <v>16</v>
      </c>
      <c r="I17" s="30" t="n">
        <f aca="false">SUMIF(Trades!$B$2:$B$94,A17,Trades!$N$2:$N$94)</f>
        <v>0</v>
      </c>
      <c r="J17" s="30" t="n">
        <f aca="false">H17-I17</f>
        <v>16</v>
      </c>
      <c r="K17" s="35" t="n">
        <v>-374</v>
      </c>
      <c r="L17" s="35" t="n">
        <v>4.62</v>
      </c>
      <c r="M17" s="30" t="n">
        <f aca="false">N16</f>
        <v>8152.2</v>
      </c>
      <c r="N17" s="30" t="n">
        <f aca="false">M17+J17+K17+L17</f>
        <v>7798.82</v>
      </c>
      <c r="O17" s="30" t="n">
        <f aca="false">N17-M17</f>
        <v>-353.38</v>
      </c>
      <c r="P17" s="32" t="n">
        <f aca="false">O17/M17</f>
        <v>-0.0433478079536812</v>
      </c>
      <c r="Q17" s="4" t="str">
        <f aca="false">IF(P17&gt;=Summary!$C$7,"Yes","No")</f>
        <v>No</v>
      </c>
      <c r="R17" s="29" t="n">
        <f aca="false">N17/Summary!$C$5-1</f>
        <v>0.0398426666666667</v>
      </c>
      <c r="S17" s="30" t="n">
        <f aca="false">Summary!$C$5*(1+Summary!$C$7)^A17</f>
        <v>8794.33983692774</v>
      </c>
      <c r="T17" s="30" t="n">
        <f aca="false">N17-S17</f>
        <v>-995.51983692774</v>
      </c>
      <c r="U17" s="27" t="n">
        <v>100</v>
      </c>
      <c r="V17" s="30" t="n">
        <f aca="false">Summary!$C$5*D17/Summary!$C$8</f>
        <v>8376.9592476489</v>
      </c>
      <c r="W17" s="30" t="n">
        <f aca="false">Summary!$C$5*(1+Summary!$C$6*7*A17/365)</f>
        <v>7592.05479452055</v>
      </c>
    </row>
    <row r="18" customFormat="false" ht="15" hidden="false" customHeight="false" outlineLevel="0" collapsed="false">
      <c r="A18" s="27" t="n">
        <v>17</v>
      </c>
      <c r="B18" s="27" t="s">
        <v>128</v>
      </c>
      <c r="C18" s="8" t="n">
        <v>71.26</v>
      </c>
      <c r="D18" s="8" t="n">
        <v>72.04</v>
      </c>
      <c r="E18" s="29" t="n">
        <f aca="false">D18/C18-1</f>
        <v>0.0109458321639069</v>
      </c>
      <c r="F18" s="34" t="s">
        <v>131</v>
      </c>
      <c r="G18" s="4" t="n">
        <f aca="false">COUNTIF(Trades!$B$2:$B$94,A18)</f>
        <v>1</v>
      </c>
      <c r="H18" s="30" t="n">
        <f aca="false">SUMIF(Trades!$B$2:$B$94,A18,Trades!$I$2:$I$94)</f>
        <v>70</v>
      </c>
      <c r="I18" s="30" t="n">
        <f aca="false">SUMIF(Trades!$B$2:$B$94,A18,Trades!$N$2:$N$94)</f>
        <v>0</v>
      </c>
      <c r="J18" s="30" t="n">
        <f aca="false">H18-I18</f>
        <v>70</v>
      </c>
      <c r="K18" s="35" t="n">
        <v>78</v>
      </c>
      <c r="L18" s="35" t="n">
        <v>0.57</v>
      </c>
      <c r="M18" s="30" t="n">
        <f aca="false">N17</f>
        <v>7798.82</v>
      </c>
      <c r="N18" s="30" t="n">
        <f aca="false">M18+J18+K18+L18</f>
        <v>7947.39</v>
      </c>
      <c r="O18" s="30" t="n">
        <f aca="false">N18-M18</f>
        <v>148.57</v>
      </c>
      <c r="P18" s="32" t="n">
        <f aca="false">O18/M18</f>
        <v>0.0190503178686006</v>
      </c>
      <c r="Q18" s="4" t="str">
        <f aca="false">IF(P18&gt;=Summary!$C$7,"Yes","No")</f>
        <v>Yes</v>
      </c>
      <c r="R18" s="29" t="n">
        <f aca="false">N18/Summary!$C$5-1</f>
        <v>0.059652</v>
      </c>
      <c r="S18" s="30" t="n">
        <f aca="false">Summary!$C$5*(1+Summary!$C$7)^A18</f>
        <v>8882.28323529702</v>
      </c>
      <c r="T18" s="30" t="n">
        <f aca="false">N18-S18</f>
        <v>-934.893235297016</v>
      </c>
      <c r="U18" s="27" t="n">
        <v>100</v>
      </c>
      <c r="V18" s="30" t="n">
        <f aca="false">Summary!$C$5*D18/Summary!$C$8</f>
        <v>8468.65203761756</v>
      </c>
      <c r="W18" s="30" t="n">
        <f aca="false">Summary!$C$5*(1+Summary!$C$6*7*A18/365)</f>
        <v>7597.80821917808</v>
      </c>
    </row>
    <row r="19" customFormat="false" ht="15" hidden="false" customHeight="false" outlineLevel="0" collapsed="false">
      <c r="A19" s="27" t="n">
        <v>18</v>
      </c>
      <c r="B19" s="27" t="s">
        <v>112</v>
      </c>
      <c r="C19" s="8" t="n">
        <v>72.04</v>
      </c>
      <c r="D19" s="8" t="n">
        <v>76.41</v>
      </c>
      <c r="E19" s="29" t="n">
        <f aca="false">D19/C19-1</f>
        <v>0.0606607440310938</v>
      </c>
      <c r="F19" s="34" t="s">
        <v>132</v>
      </c>
      <c r="G19" s="4" t="n">
        <f aca="false">COUNTIF(Trades!$B$2:$B$94,A19)</f>
        <v>1</v>
      </c>
      <c r="H19" s="30" t="n">
        <f aca="false">SUMIF(Trades!$B$2:$B$94,A19,Trades!$I$2:$I$94)</f>
        <v>99</v>
      </c>
      <c r="I19" s="30" t="n">
        <f aca="false">SUMIF(Trades!$B$2:$B$94,A19,Trades!$N$2:$N$94)</f>
        <v>0</v>
      </c>
      <c r="J19" s="30" t="n">
        <f aca="false">H19-I19</f>
        <v>99</v>
      </c>
      <c r="K19" s="35" t="n">
        <v>396</v>
      </c>
      <c r="L19" s="35" t="n">
        <v>2.31</v>
      </c>
      <c r="M19" s="30" t="n">
        <f aca="false">N18</f>
        <v>7947.39</v>
      </c>
      <c r="N19" s="30" t="n">
        <f aca="false">M19+J19+K19+L19</f>
        <v>8444.7</v>
      </c>
      <c r="O19" s="30" t="n">
        <f aca="false">N19-M19</f>
        <v>497.309999999999</v>
      </c>
      <c r="P19" s="32" t="n">
        <f aca="false">O19/M19</f>
        <v>0.0625752605572394</v>
      </c>
      <c r="Q19" s="4" t="str">
        <f aca="false">IF(P19&gt;=Summary!$C$7,"Yes","No")</f>
        <v>Yes</v>
      </c>
      <c r="R19" s="29" t="n">
        <f aca="false">N19/Summary!$C$5-1</f>
        <v>0.12596</v>
      </c>
      <c r="S19" s="30" t="n">
        <f aca="false">Summary!$C$5*(1+Summary!$C$7)^A19</f>
        <v>8971.10606764999</v>
      </c>
      <c r="T19" s="30" t="n">
        <f aca="false">N19-S19</f>
        <v>-526.406067649989</v>
      </c>
      <c r="U19" s="27" t="n">
        <v>0</v>
      </c>
      <c r="V19" s="30" t="n">
        <f aca="false">Summary!$C$5*D19/Summary!$C$8</f>
        <v>8982.36677115988</v>
      </c>
      <c r="W19" s="30" t="n">
        <f aca="false">Summary!$C$5*(1+Summary!$C$6*7*A19/365)</f>
        <v>7603.56164383562</v>
      </c>
    </row>
    <row r="20" customFormat="false" ht="23.85" hidden="false" customHeight="false" outlineLevel="0" collapsed="false">
      <c r="A20" s="27" t="n">
        <v>19</v>
      </c>
      <c r="B20" s="27" t="s">
        <v>118</v>
      </c>
      <c r="C20" s="8" t="n">
        <v>76.41</v>
      </c>
      <c r="D20" s="8" t="n">
        <v>83.96</v>
      </c>
      <c r="E20" s="29" t="n">
        <f aca="false">D20/C20-1</f>
        <v>0.0988090564062296</v>
      </c>
      <c r="F20" s="34" t="s">
        <v>133</v>
      </c>
      <c r="G20" s="4" t="n">
        <f aca="false">COUNTIF(Trades!$B$2:$B$94,A20)</f>
        <v>2</v>
      </c>
      <c r="H20" s="30" t="n">
        <f aca="false">SUMIF(Trades!$B$2:$B$94,A20,Trades!$I$2:$I$94)</f>
        <v>126</v>
      </c>
      <c r="I20" s="30" t="n">
        <f aca="false">SUMIF(Trades!$B$2:$B$94,A20,Trades!$N$2:$N$94)</f>
        <v>21</v>
      </c>
      <c r="J20" s="30" t="n">
        <f aca="false">H20-I20</f>
        <v>105</v>
      </c>
      <c r="K20" s="35" t="n">
        <v>0</v>
      </c>
      <c r="L20" s="35" t="n">
        <v>6.55</v>
      </c>
      <c r="M20" s="30" t="n">
        <f aca="false">N19</f>
        <v>8444.7</v>
      </c>
      <c r="N20" s="30" t="n">
        <f aca="false">M20+J20+K20+L20</f>
        <v>8556.25</v>
      </c>
      <c r="O20" s="30" t="n">
        <f aca="false">N20-M20</f>
        <v>111.549999999999</v>
      </c>
      <c r="P20" s="32" t="n">
        <f aca="false">O20/M20</f>
        <v>0.0132094686608168</v>
      </c>
      <c r="Q20" s="4" t="str">
        <f aca="false">IF(P20&gt;=Summary!$C$7,"Yes","No")</f>
        <v>Yes</v>
      </c>
      <c r="R20" s="29" t="n">
        <f aca="false">N20/Summary!$C$5-1</f>
        <v>0.140833333333333</v>
      </c>
      <c r="S20" s="30" t="n">
        <f aca="false">Summary!$C$5*(1+Summary!$C$7)^A20</f>
        <v>9060.81712832649</v>
      </c>
      <c r="T20" s="30" t="n">
        <f aca="false">N20-S20</f>
        <v>-504.567128326489</v>
      </c>
      <c r="U20" s="27" t="n">
        <v>0</v>
      </c>
      <c r="V20" s="30" t="n">
        <f aca="false">Summary!$C$5*D20/Summary!$C$8</f>
        <v>9869.90595611285</v>
      </c>
      <c r="W20" s="30" t="n">
        <f aca="false">Summary!$C$5*(1+Summary!$C$6*7*A20/365)</f>
        <v>7609.31506849315</v>
      </c>
    </row>
    <row r="21" customFormat="false" ht="15" hidden="false" customHeight="false" outlineLevel="0" collapsed="false">
      <c r="A21" s="27" t="n">
        <v>20</v>
      </c>
      <c r="B21" s="27" t="s">
        <v>118</v>
      </c>
      <c r="C21" s="8" t="n">
        <v>83.96</v>
      </c>
      <c r="D21" s="8" t="n">
        <v>75.32</v>
      </c>
      <c r="E21" s="29" t="n">
        <f aca="false">D21/C21-1</f>
        <v>-0.102906145783706</v>
      </c>
      <c r="F21" s="34" t="s">
        <v>134</v>
      </c>
      <c r="G21" s="4" t="n">
        <f aca="false">COUNTIF(Trades!$B$2:$B$94,A21)</f>
        <v>1</v>
      </c>
      <c r="H21" s="30" t="n">
        <f aca="false">SUMIF(Trades!$B$2:$B$94,A21,Trades!$I$2:$I$94)</f>
        <v>102</v>
      </c>
      <c r="I21" s="30" t="n">
        <f aca="false">SUMIF(Trades!$B$2:$B$94,A21,Trades!$N$2:$N$94)</f>
        <v>0</v>
      </c>
      <c r="J21" s="30" t="n">
        <f aca="false">H21-I21</f>
        <v>102</v>
      </c>
      <c r="K21" s="35" t="n">
        <v>0</v>
      </c>
      <c r="L21" s="35" t="n">
        <v>6.64</v>
      </c>
      <c r="M21" s="30" t="n">
        <f aca="false">N20</f>
        <v>8556.25</v>
      </c>
      <c r="N21" s="30" t="n">
        <f aca="false">M21+J21+K21+L21</f>
        <v>8664.89</v>
      </c>
      <c r="O21" s="30" t="n">
        <f aca="false">N21-M21</f>
        <v>108.639999999999</v>
      </c>
      <c r="P21" s="32" t="n">
        <f aca="false">O21/M21</f>
        <v>0.0126971512052592</v>
      </c>
      <c r="Q21" s="4" t="str">
        <f aca="false">IF(P21&gt;=Summary!$C$7,"Yes","No")</f>
        <v>Yes</v>
      </c>
      <c r="R21" s="29" t="n">
        <f aca="false">N21/Summary!$C$5-1</f>
        <v>0.155318666666666</v>
      </c>
      <c r="S21" s="30" t="n">
        <f aca="false">Summary!$C$5*(1+Summary!$C$7)^A21</f>
        <v>9151.42529960975</v>
      </c>
      <c r="T21" s="30" t="n">
        <f aca="false">N21-S21</f>
        <v>-486.535299609755</v>
      </c>
      <c r="U21" s="27" t="n">
        <v>0</v>
      </c>
      <c r="V21" s="30" t="n">
        <f aca="false">Summary!$C$5*D21/Summary!$C$8</f>
        <v>8854.23197492163</v>
      </c>
      <c r="W21" s="30" t="n">
        <f aca="false">Summary!$C$5*(1+Summary!$C$6*7*A21/365)</f>
        <v>7615.06849315069</v>
      </c>
    </row>
    <row r="22" customFormat="false" ht="23.85" hidden="false" customHeight="false" outlineLevel="0" collapsed="false">
      <c r="A22" s="27" t="n">
        <v>21</v>
      </c>
      <c r="B22" s="27" t="s">
        <v>112</v>
      </c>
      <c r="C22" s="8" t="n">
        <v>75.32</v>
      </c>
      <c r="D22" s="8" t="n">
        <v>74.38</v>
      </c>
      <c r="E22" s="29" t="n">
        <f aca="false">D22/C22-1</f>
        <v>-0.0124800849707912</v>
      </c>
      <c r="F22" s="34" t="s">
        <v>135</v>
      </c>
      <c r="G22" s="4" t="n">
        <f aca="false">COUNTIF(Trades!$B$2:$B$94,A22)</f>
        <v>2</v>
      </c>
      <c r="H22" s="30" t="n">
        <f aca="false">SUMIF(Trades!$B$2:$B$94,A22,Trades!$I$2:$I$94)</f>
        <v>83</v>
      </c>
      <c r="I22" s="30" t="n">
        <f aca="false">SUMIF(Trades!$B$2:$B$94,A22,Trades!$N$2:$N$94)</f>
        <v>1</v>
      </c>
      <c r="J22" s="30" t="n">
        <f aca="false">H22-I22</f>
        <v>82</v>
      </c>
      <c r="K22" s="35" t="n">
        <v>0</v>
      </c>
      <c r="L22" s="35" t="n">
        <v>6.7</v>
      </c>
      <c r="M22" s="30" t="n">
        <f aca="false">N21</f>
        <v>8664.89</v>
      </c>
      <c r="N22" s="30" t="n">
        <f aca="false">M22+J22+K22+L22</f>
        <v>8753.59</v>
      </c>
      <c r="O22" s="30" t="n">
        <f aca="false">N22-M22</f>
        <v>88.7000000000007</v>
      </c>
      <c r="P22" s="32" t="n">
        <f aca="false">O22/M22</f>
        <v>0.0102367139109672</v>
      </c>
      <c r="Q22" s="4" t="str">
        <f aca="false">IF(P22&gt;=Summary!$C$7,"Yes","No")</f>
        <v>Yes</v>
      </c>
      <c r="R22" s="29" t="n">
        <f aca="false">N22/Summary!$C$5-1</f>
        <v>0.167145333333333</v>
      </c>
      <c r="S22" s="30" t="n">
        <f aca="false">Summary!$C$5*(1+Summary!$C$7)^A22</f>
        <v>9242.93955260585</v>
      </c>
      <c r="T22" s="30" t="n">
        <f aca="false">N22-S22</f>
        <v>-489.349552605852</v>
      </c>
      <c r="U22" s="27" t="n">
        <v>0</v>
      </c>
      <c r="V22" s="30" t="n">
        <f aca="false">Summary!$C$5*D22/Summary!$C$8</f>
        <v>8743.73040752351</v>
      </c>
      <c r="W22" s="30" t="n">
        <f aca="false">Summary!$C$5*(1+Summary!$C$6*7*A22/365)</f>
        <v>7620.82191780822</v>
      </c>
    </row>
    <row r="23" customFormat="false" ht="23.85" hidden="false" customHeight="false" outlineLevel="0" collapsed="false">
      <c r="A23" s="27" t="n">
        <v>22</v>
      </c>
      <c r="B23" s="27" t="s">
        <v>118</v>
      </c>
      <c r="C23" s="8" t="n">
        <v>74.38</v>
      </c>
      <c r="D23" s="8" t="n">
        <v>89.56</v>
      </c>
      <c r="E23" s="29" t="n">
        <f aca="false">D23/C23-1</f>
        <v>0.204087120193601</v>
      </c>
      <c r="F23" s="34" t="s">
        <v>136</v>
      </c>
      <c r="G23" s="4" t="n">
        <f aca="false">COUNTIF(Trades!$B$2:$B$94,A23)</f>
        <v>2</v>
      </c>
      <c r="H23" s="30" t="n">
        <f aca="false">SUMIF(Trades!$B$2:$B$94,A23,Trades!$I$2:$I$94)</f>
        <v>114</v>
      </c>
      <c r="I23" s="30" t="n">
        <f aca="false">SUMIF(Trades!$B$2:$B$94,A23,Trades!$N$2:$N$94)</f>
        <v>18</v>
      </c>
      <c r="J23" s="30" t="n">
        <f aca="false">H23-I23</f>
        <v>96</v>
      </c>
      <c r="K23" s="35" t="n">
        <v>0</v>
      </c>
      <c r="L23" s="35" t="n">
        <v>6.78</v>
      </c>
      <c r="M23" s="30" t="n">
        <f aca="false">N22</f>
        <v>8753.59</v>
      </c>
      <c r="N23" s="30" t="n">
        <f aca="false">M23+J23+K23+L23</f>
        <v>8856.37</v>
      </c>
      <c r="O23" s="30" t="n">
        <f aca="false">N23-M23</f>
        <v>102.780000000001</v>
      </c>
      <c r="P23" s="32" t="n">
        <f aca="false">O23/M23</f>
        <v>0.011741468357554</v>
      </c>
      <c r="Q23" s="4" t="str">
        <f aca="false">IF(P23&gt;=Summary!$C$7,"Yes","No")</f>
        <v>Yes</v>
      </c>
      <c r="R23" s="29" t="n">
        <f aca="false">N23/Summary!$C$5-1</f>
        <v>0.180849333333333</v>
      </c>
      <c r="S23" s="30" t="n">
        <f aca="false">Summary!$C$5*(1+Summary!$C$7)^A23</f>
        <v>9335.36894813191</v>
      </c>
      <c r="T23" s="30" t="n">
        <f aca="false">N23-S23</f>
        <v>-478.99894813191</v>
      </c>
      <c r="U23" s="27" t="n">
        <v>0</v>
      </c>
      <c r="V23" s="30" t="n">
        <f aca="false">Summary!$C$5*D23/Summary!$C$8</f>
        <v>10528.2131661442</v>
      </c>
      <c r="W23" s="30" t="n">
        <f aca="false">Summary!$C$5*(1+Summary!$C$6*7*A23/365)</f>
        <v>7626.57534246575</v>
      </c>
    </row>
    <row r="24" customFormat="false" ht="23.85" hidden="false" customHeight="false" outlineLevel="0" collapsed="false">
      <c r="A24" s="27" t="n">
        <v>23</v>
      </c>
      <c r="B24" s="27" t="s">
        <v>118</v>
      </c>
      <c r="C24" s="8" t="n">
        <v>89.56</v>
      </c>
      <c r="D24" s="8" t="n">
        <v>78.9</v>
      </c>
      <c r="E24" s="29" t="n">
        <f aca="false">D24/C24-1</f>
        <v>-0.119026351049576</v>
      </c>
      <c r="F24" s="34" t="s">
        <v>137</v>
      </c>
      <c r="G24" s="4" t="n">
        <f aca="false">COUNTIF(Trades!$B$2:$B$94,A24)</f>
        <v>2</v>
      </c>
      <c r="H24" s="30" t="n">
        <f aca="false">SUMIF(Trades!$B$2:$B$94,A24,Trades!$I$2:$I$94)</f>
        <v>182</v>
      </c>
      <c r="I24" s="30" t="n">
        <f aca="false">SUMIF(Trades!$B$2:$B$94,A24,Trades!$N$2:$N$94)</f>
        <v>96</v>
      </c>
      <c r="J24" s="30" t="n">
        <f aca="false">H24-I24</f>
        <v>86</v>
      </c>
      <c r="K24" s="35" t="n">
        <v>0</v>
      </c>
      <c r="L24" s="35" t="n">
        <v>6.87</v>
      </c>
      <c r="M24" s="30" t="n">
        <f aca="false">N23</f>
        <v>8856.37</v>
      </c>
      <c r="N24" s="30" t="n">
        <f aca="false">M24+J24+K24+L24</f>
        <v>8949.24</v>
      </c>
      <c r="O24" s="30" t="n">
        <f aca="false">N24-M24</f>
        <v>92.8700000000008</v>
      </c>
      <c r="P24" s="32" t="n">
        <f aca="false">O24/M24</f>
        <v>0.0104862375894414</v>
      </c>
      <c r="Q24" s="4" t="str">
        <f aca="false">IF(P24&gt;=Summary!$C$7,"Yes","No")</f>
        <v>Yes</v>
      </c>
      <c r="R24" s="29" t="n">
        <f aca="false">N24/Summary!$C$5-1</f>
        <v>0.193232</v>
      </c>
      <c r="S24" s="30" t="n">
        <f aca="false">Summary!$C$5*(1+Summary!$C$7)^A24</f>
        <v>9428.72263761323</v>
      </c>
      <c r="T24" s="30" t="n">
        <f aca="false">N24-S24</f>
        <v>-479.482637613228</v>
      </c>
      <c r="U24" s="27" t="n">
        <v>0</v>
      </c>
      <c r="V24" s="30" t="n">
        <f aca="false">Summary!$C$5*D24/Summary!$C$8</f>
        <v>9275.07836990596</v>
      </c>
      <c r="W24" s="30" t="n">
        <f aca="false">Summary!$C$5*(1+Summary!$C$6*7*A24/365)</f>
        <v>7632.32876712329</v>
      </c>
    </row>
    <row r="25" customFormat="false" ht="15" hidden="false" customHeight="false" outlineLevel="0" collapsed="false">
      <c r="A25" s="27" t="n">
        <v>24</v>
      </c>
      <c r="B25" s="27" t="s">
        <v>112</v>
      </c>
      <c r="C25" s="8" t="n">
        <v>78.9</v>
      </c>
      <c r="D25" s="8" t="n">
        <v>77.25</v>
      </c>
      <c r="E25" s="29" t="n">
        <f aca="false">D25/C25-1</f>
        <v>-0.0209125475285172</v>
      </c>
      <c r="F25" s="34" t="s">
        <v>138</v>
      </c>
      <c r="G25" s="4" t="n">
        <f aca="false">COUNTIF(Trades!$B$2:$B$94,A25)</f>
        <v>1</v>
      </c>
      <c r="H25" s="30" t="n">
        <f aca="false">SUMIF(Trades!$B$2:$B$94,A25,Trades!$I$2:$I$94)</f>
        <v>91</v>
      </c>
      <c r="I25" s="30" t="n">
        <f aca="false">SUMIF(Trades!$B$2:$B$94,A25,Trades!$N$2:$N$94)</f>
        <v>0</v>
      </c>
      <c r="J25" s="30" t="n">
        <f aca="false">H25-I25</f>
        <v>91</v>
      </c>
      <c r="K25" s="35" t="n">
        <v>0</v>
      </c>
      <c r="L25" s="35" t="n">
        <v>6.93</v>
      </c>
      <c r="M25" s="30" t="n">
        <f aca="false">N24</f>
        <v>8949.24</v>
      </c>
      <c r="N25" s="30" t="n">
        <f aca="false">M25+J25+K25+L25</f>
        <v>9047.17</v>
      </c>
      <c r="O25" s="30" t="n">
        <f aca="false">N25-M25</f>
        <v>97.9300000000003</v>
      </c>
      <c r="P25" s="32" t="n">
        <f aca="false">O25/M25</f>
        <v>0.0109428286647805</v>
      </c>
      <c r="Q25" s="4" t="str">
        <f aca="false">IF(P25&gt;=Summary!$C$7,"Yes","No")</f>
        <v>Yes</v>
      </c>
      <c r="R25" s="29" t="n">
        <f aca="false">N25/Summary!$C$5-1</f>
        <v>0.206289333333333</v>
      </c>
      <c r="S25" s="30" t="n">
        <f aca="false">Summary!$C$5*(1+Summary!$C$7)^A25</f>
        <v>9523.00986398936</v>
      </c>
      <c r="T25" s="30" t="n">
        <f aca="false">N25-S25</f>
        <v>-475.83986398936</v>
      </c>
      <c r="U25" s="27" t="n">
        <v>0</v>
      </c>
      <c r="V25" s="30" t="n">
        <f aca="false">Summary!$C$5*D25/Summary!$C$8</f>
        <v>9081.11285266458</v>
      </c>
      <c r="W25" s="30" t="n">
        <f aca="false">Summary!$C$5*(1+Summary!$C$6*7*A25/365)</f>
        <v>7638.08219178082</v>
      </c>
    </row>
    <row r="26" customFormat="false" ht="15" hidden="false" customHeight="false" outlineLevel="0" collapsed="false">
      <c r="A26" s="27" t="n">
        <v>25</v>
      </c>
      <c r="B26" s="27" t="s">
        <v>118</v>
      </c>
      <c r="C26" s="8" t="n">
        <v>77.25</v>
      </c>
      <c r="D26" s="8" t="n">
        <v>79.89</v>
      </c>
      <c r="E26" s="29" t="n">
        <f aca="false">D26/C26-1</f>
        <v>0.0341747572815534</v>
      </c>
      <c r="F26" s="34" t="s">
        <v>139</v>
      </c>
      <c r="G26" s="4" t="n">
        <f aca="false">COUNTIF(Trades!$B$2:$B$94,A26)</f>
        <v>1</v>
      </c>
      <c r="H26" s="30" t="n">
        <f aca="false">SUMIF(Trades!$B$2:$B$94,A26,Trades!$I$2:$I$94)</f>
        <v>43</v>
      </c>
      <c r="I26" s="30" t="n">
        <f aca="false">SUMIF(Trades!$B$2:$B$94,A26,Trades!$N$2:$N$94)</f>
        <v>0</v>
      </c>
      <c r="J26" s="30" t="n">
        <f aca="false">H26-I26</f>
        <v>43</v>
      </c>
      <c r="K26" s="35" t="n">
        <v>0</v>
      </c>
      <c r="L26" s="35" t="n">
        <v>6.97</v>
      </c>
      <c r="M26" s="30" t="n">
        <f aca="false">N25</f>
        <v>9047.17</v>
      </c>
      <c r="N26" s="30" t="n">
        <f aca="false">M26+J26+K26+L26</f>
        <v>9097.14</v>
      </c>
      <c r="O26" s="30" t="n">
        <f aca="false">N26-M26</f>
        <v>49.9699999999993</v>
      </c>
      <c r="P26" s="32" t="n">
        <f aca="false">O26/M26</f>
        <v>0.0055232741288159</v>
      </c>
      <c r="Q26" s="4" t="str">
        <f aca="false">IF(P26&gt;=Summary!$C$7,"Yes","No")</f>
        <v>No</v>
      </c>
      <c r="R26" s="29" t="n">
        <f aca="false">N26/Summary!$C$5-1</f>
        <v>0.212952</v>
      </c>
      <c r="S26" s="30" t="n">
        <f aca="false">Summary!$C$5*(1+Summary!$C$7)^A26</f>
        <v>9618.23996262925</v>
      </c>
      <c r="T26" s="30" t="n">
        <f aca="false">N26-S26</f>
        <v>-521.099962629254</v>
      </c>
      <c r="U26" s="27" t="n">
        <v>0</v>
      </c>
      <c r="V26" s="30" t="n">
        <f aca="false">Summary!$C$5*D26/Summary!$C$8</f>
        <v>9391.45768025078</v>
      </c>
      <c r="W26" s="30" t="n">
        <f aca="false">Summary!$C$5*(1+Summary!$C$6*7*A26/365)</f>
        <v>7643.83561643836</v>
      </c>
    </row>
    <row r="27" customFormat="false" ht="23.85" hidden="false" customHeight="false" outlineLevel="0" collapsed="false">
      <c r="A27" s="37" t="n">
        <v>26</v>
      </c>
      <c r="B27" s="37" t="s">
        <v>110</v>
      </c>
      <c r="C27" s="38" t="n">
        <v>79.89</v>
      </c>
      <c r="D27" s="38" t="n">
        <v>92.15</v>
      </c>
      <c r="E27" s="39" t="n">
        <f aca="false">D27/C27-1</f>
        <v>0.15346100888722</v>
      </c>
      <c r="F27" s="40" t="s">
        <v>140</v>
      </c>
      <c r="G27" s="41" t="n">
        <f aca="false">COUNTIF(Trades!$B$2:$B$94,A27)</f>
        <v>2</v>
      </c>
      <c r="H27" s="42" t="n">
        <f aca="false">SUMIF(Trades!$B$2:$B$94,A27,Trades!$I$2:$I$94)</f>
        <v>94</v>
      </c>
      <c r="I27" s="42" t="n">
        <f aca="false">SUMIF(Trades!$B$2:$B$94,A27,Trades!$N$2:$N$94)</f>
        <v>9</v>
      </c>
      <c r="J27" s="42" t="n">
        <f aca="false">H27-I27</f>
        <v>85</v>
      </c>
      <c r="K27" s="43" t="n">
        <v>0</v>
      </c>
      <c r="L27" s="43" t="n">
        <v>7.04</v>
      </c>
      <c r="M27" s="42" t="n">
        <f aca="false">N26</f>
        <v>9097.14</v>
      </c>
      <c r="N27" s="42" t="n">
        <f aca="false">M27+J27+K27+L27</f>
        <v>9189.18</v>
      </c>
      <c r="O27" s="42" t="n">
        <f aca="false">N27-M27</f>
        <v>92.0400000000009</v>
      </c>
      <c r="P27" s="44" t="n">
        <f aca="false">O27/M27</f>
        <v>0.0101174654891538</v>
      </c>
      <c r="Q27" s="41" t="str">
        <f aca="false">IF(P27&gt;=Summary!$C$7,"Yes","No")</f>
        <v>Yes</v>
      </c>
      <c r="R27" s="39" t="n">
        <f aca="false">N27/Summary!$C$5-1</f>
        <v>0.225224</v>
      </c>
      <c r="S27" s="42" t="n">
        <f aca="false">Summary!$C$5*(1+Summary!$C$7)^A27</f>
        <v>9714.42236225555</v>
      </c>
      <c r="T27" s="42" t="n">
        <f aca="false">N27-S27</f>
        <v>-525.242362255547</v>
      </c>
      <c r="U27" s="37" t="n">
        <v>0</v>
      </c>
      <c r="V27" s="42" t="n">
        <f aca="false">Summary!$C$5*D27/Summary!$C$8</f>
        <v>10832.6802507837</v>
      </c>
      <c r="W27" s="42" t="n">
        <f aca="false">Summary!$C$5*(1+Summary!$C$6*7*A27/365)</f>
        <v>7649.58904109589</v>
      </c>
    </row>
    <row r="28" customFormat="false" ht="15" hidden="false" customHeight="false" outlineLevel="0" collapsed="false">
      <c r="A28" s="27" t="n">
        <v>27</v>
      </c>
      <c r="B28" s="27" t="s">
        <v>112</v>
      </c>
      <c r="C28" s="8" t="n">
        <v>92.15</v>
      </c>
      <c r="D28" s="8" t="n">
        <v>86.08</v>
      </c>
      <c r="E28" s="29" t="n">
        <f aca="false">D28/C28-1</f>
        <v>-0.0658708627238199</v>
      </c>
      <c r="F28" s="34" t="s">
        <v>141</v>
      </c>
      <c r="G28" s="4" t="n">
        <f aca="false">COUNTIF(Trades!$B$2:$B$94,A28)</f>
        <v>1</v>
      </c>
      <c r="H28" s="30" t="n">
        <f aca="false">SUMIF(Trades!$B$2:$B$94,A28,Trades!$I$2:$I$94)</f>
        <v>100</v>
      </c>
      <c r="I28" s="30" t="n">
        <f aca="false">SUMIF(Trades!$B$2:$B$94,A28,Trades!$N$2:$N$94)</f>
        <v>0</v>
      </c>
      <c r="J28" s="30" t="n">
        <f aca="false">H28-I28</f>
        <v>100</v>
      </c>
      <c r="K28" s="35" t="n">
        <v>0</v>
      </c>
      <c r="L28" s="35" t="n">
        <v>7.13</v>
      </c>
      <c r="M28" s="30" t="n">
        <f aca="false">N27</f>
        <v>9189.18</v>
      </c>
      <c r="N28" s="30" t="n">
        <f aca="false">M28+J28+K28+L28</f>
        <v>9296.31</v>
      </c>
      <c r="O28" s="30" t="n">
        <f aca="false">N28-M28</f>
        <v>107.129999999999</v>
      </c>
      <c r="P28" s="32" t="n">
        <f aca="false">O28/M28</f>
        <v>0.0116582763641586</v>
      </c>
      <c r="Q28" s="4" t="str">
        <f aca="false">IF(P28&gt;=Summary!$C$7,"Yes","No")</f>
        <v>Yes</v>
      </c>
      <c r="R28" s="29" t="n">
        <f aca="false">N28/Summary!$C$5-1</f>
        <v>0.239508</v>
      </c>
      <c r="S28" s="30" t="n">
        <f aca="false">Summary!$C$5*(1+Summary!$C$7)^A28</f>
        <v>9811.5665858781</v>
      </c>
      <c r="T28" s="30" t="n">
        <f aca="false">N28-S28</f>
        <v>-515.256585878104</v>
      </c>
      <c r="U28" s="27" t="n">
        <v>0</v>
      </c>
      <c r="V28" s="30" t="n">
        <f aca="false">Summary!$C$5*D28/Summary!$C$8</f>
        <v>10119.1222570533</v>
      </c>
      <c r="W28" s="30" t="n">
        <f aca="false">Summary!$C$5*(1+Summary!$C$6*7*A28/365)</f>
        <v>7655.34246575343</v>
      </c>
    </row>
    <row r="29" customFormat="false" ht="15" hidden="false" customHeight="false" outlineLevel="0" collapsed="false">
      <c r="A29" s="27" t="n">
        <v>28</v>
      </c>
      <c r="B29" s="27" t="s">
        <v>115</v>
      </c>
      <c r="C29" s="8" t="n">
        <v>86.08</v>
      </c>
      <c r="D29" s="8" t="n">
        <v>84.37</v>
      </c>
      <c r="E29" s="29" t="n">
        <f aca="false">D29/C29-1</f>
        <v>-0.0198652416356877</v>
      </c>
      <c r="F29" s="34" t="s">
        <v>142</v>
      </c>
      <c r="G29" s="4" t="n">
        <f aca="false">COUNTIF(Trades!$B$2:$B$94,A29)</f>
        <v>1</v>
      </c>
      <c r="H29" s="30" t="n">
        <f aca="false">SUMIF(Trades!$B$2:$B$94,A29,Trades!$I$2:$I$94)</f>
        <v>36</v>
      </c>
      <c r="I29" s="30" t="n">
        <f aca="false">SUMIF(Trades!$B$2:$B$94,A29,Trades!$N$2:$N$94)</f>
        <v>0</v>
      </c>
      <c r="J29" s="30" t="n">
        <f aca="false">H29-I29</f>
        <v>36</v>
      </c>
      <c r="K29" s="35" t="n">
        <v>0</v>
      </c>
      <c r="L29" s="35" t="n">
        <v>7.16</v>
      </c>
      <c r="M29" s="30" t="n">
        <f aca="false">N28</f>
        <v>9296.31</v>
      </c>
      <c r="N29" s="30" t="n">
        <f aca="false">M29+J29+K29+L29</f>
        <v>9339.47</v>
      </c>
      <c r="O29" s="30" t="n">
        <f aca="false">N29-M29</f>
        <v>43.1599999999999</v>
      </c>
      <c r="P29" s="32" t="n">
        <f aca="false">O29/M29</f>
        <v>0.00464270231952246</v>
      </c>
      <c r="Q29" s="4" t="str">
        <f aca="false">IF(P29&gt;=Summary!$C$7,"Yes","No")</f>
        <v>No</v>
      </c>
      <c r="R29" s="29" t="n">
        <f aca="false">N29/Summary!$C$5-1</f>
        <v>0.245262666666667</v>
      </c>
      <c r="S29" s="30" t="n">
        <f aca="false">Summary!$C$5*(1+Summary!$C$7)^A29</f>
        <v>9909.68225173688</v>
      </c>
      <c r="T29" s="30" t="n">
        <f aca="false">N29-S29</f>
        <v>-570.212251736884</v>
      </c>
      <c r="U29" s="27" t="n">
        <v>0</v>
      </c>
      <c r="V29" s="30" t="n">
        <f aca="false">Summary!$C$5*D29/Summary!$C$8</f>
        <v>9918.10344827586</v>
      </c>
      <c r="W29" s="30" t="n">
        <f aca="false">Summary!$C$5*(1+Summary!$C$6*7*A29/365)</f>
        <v>7661.09589041096</v>
      </c>
    </row>
    <row r="30" customFormat="false" ht="23.85" hidden="false" customHeight="false" outlineLevel="0" collapsed="false">
      <c r="A30" s="27" t="n">
        <v>29</v>
      </c>
      <c r="B30" s="27" t="s">
        <v>128</v>
      </c>
      <c r="C30" s="8" t="n">
        <v>84.37</v>
      </c>
      <c r="D30" s="8" t="n">
        <v>81.71</v>
      </c>
      <c r="E30" s="29" t="n">
        <f aca="false">D30/C30-1</f>
        <v>-0.0315277942396588</v>
      </c>
      <c r="F30" s="34" t="s">
        <v>143</v>
      </c>
      <c r="G30" s="4" t="n">
        <f aca="false">COUNTIF(Trades!$B$2:$B$94,A30)</f>
        <v>2</v>
      </c>
      <c r="H30" s="30" t="n">
        <f aca="false">SUMIF(Trades!$B$2:$B$94,A30,Trades!$I$2:$I$94)</f>
        <v>87</v>
      </c>
      <c r="I30" s="30" t="n">
        <f aca="false">SUMIF(Trades!$B$2:$B$94,A30,Trades!$N$2:$N$94)</f>
        <v>2</v>
      </c>
      <c r="J30" s="30" t="n">
        <f aca="false">H30-I30</f>
        <v>85</v>
      </c>
      <c r="K30" s="35" t="n">
        <v>0</v>
      </c>
      <c r="L30" s="35" t="n">
        <v>7.22</v>
      </c>
      <c r="M30" s="30" t="n">
        <f aca="false">N29</f>
        <v>9339.47</v>
      </c>
      <c r="N30" s="30" t="n">
        <f aca="false">M30+J30+K30+L30</f>
        <v>9431.69</v>
      </c>
      <c r="O30" s="30" t="n">
        <f aca="false">N30-M30</f>
        <v>92.2199999999994</v>
      </c>
      <c r="P30" s="32" t="n">
        <f aca="false">O30/M30</f>
        <v>0.00987422198475924</v>
      </c>
      <c r="Q30" s="4" t="str">
        <f aca="false">IF(P30&gt;=Summary!$C$7,"Yes","No")</f>
        <v>No</v>
      </c>
      <c r="R30" s="29" t="n">
        <f aca="false">N30/Summary!$C$5-1</f>
        <v>0.257558666666667</v>
      </c>
      <c r="S30" s="30" t="n">
        <f aca="false">Summary!$C$5*(1+Summary!$C$7)^A30</f>
        <v>10008.7790742543</v>
      </c>
      <c r="T30" s="30" t="n">
        <f aca="false">N30-S30</f>
        <v>-577.089074254254</v>
      </c>
      <c r="U30" s="27" t="n">
        <v>0</v>
      </c>
      <c r="V30" s="30" t="n">
        <f aca="false">Summary!$C$5*D30/Summary!$C$8</f>
        <v>9605.40752351097</v>
      </c>
      <c r="W30" s="30" t="n">
        <f aca="false">Summary!$C$5*(1+Summary!$C$6*7*A30/365)</f>
        <v>7666.84931506849</v>
      </c>
    </row>
    <row r="31" customFormat="false" ht="23.85" hidden="false" customHeight="false" outlineLevel="0" collapsed="false">
      <c r="A31" s="27" t="n">
        <v>30</v>
      </c>
      <c r="B31" s="27" t="s">
        <v>128</v>
      </c>
      <c r="C31" s="8" t="n">
        <v>81.71</v>
      </c>
      <c r="D31" s="8" t="n">
        <v>81.16</v>
      </c>
      <c r="E31" s="29" t="n">
        <f aca="false">D31/C31-1</f>
        <v>-0.00673112226165706</v>
      </c>
      <c r="F31" s="34" t="s">
        <v>144</v>
      </c>
      <c r="G31" s="4" t="n">
        <f aca="false">COUNTIF(Trades!$B$2:$B$94,A31)</f>
        <v>2</v>
      </c>
      <c r="H31" s="30" t="n">
        <f aca="false">SUMIF(Trades!$B$2:$B$94,A31,Trades!$I$2:$I$94)</f>
        <v>56</v>
      </c>
      <c r="I31" s="30" t="n">
        <f aca="false">SUMIF(Trades!$B$2:$B$94,A31,Trades!$N$2:$N$94)</f>
        <v>1</v>
      </c>
      <c r="J31" s="30" t="n">
        <f aca="false">H31-I31</f>
        <v>55</v>
      </c>
      <c r="K31" s="35" t="n">
        <v>0</v>
      </c>
      <c r="L31" s="35" t="n">
        <v>7.27</v>
      </c>
      <c r="M31" s="30" t="n">
        <f aca="false">N30</f>
        <v>9431.69</v>
      </c>
      <c r="N31" s="30" t="n">
        <f aca="false">M31+J31+K31+L31</f>
        <v>9493.96</v>
      </c>
      <c r="O31" s="30" t="n">
        <f aca="false">N31-M31</f>
        <v>62.2700000000004</v>
      </c>
      <c r="P31" s="32" t="n">
        <f aca="false">O31/M31</f>
        <v>0.00660221020835083</v>
      </c>
      <c r="Q31" s="4" t="str">
        <f aca="false">IF(P31&gt;=Summary!$C$7,"Yes","No")</f>
        <v>No</v>
      </c>
      <c r="R31" s="29" t="n">
        <f aca="false">N31/Summary!$C$5-1</f>
        <v>0.265861333333333</v>
      </c>
      <c r="S31" s="30" t="n">
        <f aca="false">Summary!$C$5*(1+Summary!$C$7)^A31</f>
        <v>10108.8668649968</v>
      </c>
      <c r="T31" s="30" t="n">
        <f aca="false">N31-S31</f>
        <v>-614.906864996796</v>
      </c>
      <c r="U31" s="27" t="n">
        <v>0</v>
      </c>
      <c r="V31" s="30" t="n">
        <f aca="false">Summary!$C$5*D31/Summary!$C$8</f>
        <v>9540.75235109718</v>
      </c>
      <c r="W31" s="30" t="n">
        <f aca="false">Summary!$C$5*(1+Summary!$C$6*7*A31/365)</f>
        <v>7672.60273972603</v>
      </c>
    </row>
    <row r="32" customFormat="false" ht="23.85" hidden="false" customHeight="false" outlineLevel="0" collapsed="false">
      <c r="A32" s="27" t="n">
        <v>31</v>
      </c>
      <c r="B32" s="27" t="s">
        <v>112</v>
      </c>
      <c r="C32" s="8" t="n">
        <v>81.16</v>
      </c>
      <c r="D32" s="8" t="n">
        <v>69.78</v>
      </c>
      <c r="E32" s="29" t="n">
        <f aca="false">D32/C32-1</f>
        <v>-0.140216855593889</v>
      </c>
      <c r="F32" s="34" t="s">
        <v>145</v>
      </c>
      <c r="G32" s="4" t="n">
        <f aca="false">COUNTIF(Trades!$B$2:$B$94,A32)</f>
        <v>2</v>
      </c>
      <c r="H32" s="30" t="n">
        <f aca="false">SUMIF(Trades!$B$2:$B$94,A32,Trades!$I$2:$I$94)</f>
        <v>155</v>
      </c>
      <c r="I32" s="30" t="n">
        <f aca="false">SUMIF(Trades!$B$2:$B$94,A32,Trades!$N$2:$N$94)</f>
        <v>142</v>
      </c>
      <c r="J32" s="30" t="n">
        <f aca="false">H32-I32</f>
        <v>13</v>
      </c>
      <c r="K32" s="35" t="n">
        <v>-122</v>
      </c>
      <c r="L32" s="35" t="n">
        <v>5.76</v>
      </c>
      <c r="M32" s="30" t="n">
        <f aca="false">N31</f>
        <v>9493.96</v>
      </c>
      <c r="N32" s="30" t="n">
        <f aca="false">M32+J32+K32+L32</f>
        <v>9390.72</v>
      </c>
      <c r="O32" s="30" t="n">
        <f aca="false">N32-M32</f>
        <v>-103.24</v>
      </c>
      <c r="P32" s="32" t="n">
        <f aca="false">O32/M32</f>
        <v>-0.0108742821751935</v>
      </c>
      <c r="Q32" s="4" t="str">
        <f aca="false">IF(P32&gt;=Summary!$C$7,"Yes","No")</f>
        <v>No</v>
      </c>
      <c r="R32" s="29" t="n">
        <f aca="false">N32/Summary!$C$5-1</f>
        <v>0.252096</v>
      </c>
      <c r="S32" s="30" t="n">
        <f aca="false">Summary!$C$5*(1+Summary!$C$7)^A32</f>
        <v>10209.9555336468</v>
      </c>
      <c r="T32" s="30" t="n">
        <f aca="false">N32-S32</f>
        <v>-819.235533646765</v>
      </c>
      <c r="U32" s="27" t="n">
        <v>100</v>
      </c>
      <c r="V32" s="30" t="n">
        <f aca="false">Summary!$C$5*D32/Summary!$C$8</f>
        <v>8202.97805642633</v>
      </c>
      <c r="W32" s="30" t="n">
        <f aca="false">Summary!$C$5*(1+Summary!$C$6*7*A32/365)</f>
        <v>7678.35616438356</v>
      </c>
    </row>
    <row r="33" customFormat="false" ht="23.85" hidden="false" customHeight="false" outlineLevel="0" collapsed="false">
      <c r="A33" s="27" t="n">
        <v>32</v>
      </c>
      <c r="B33" s="27" t="s">
        <v>110</v>
      </c>
      <c r="C33" s="8" t="n">
        <v>69.78</v>
      </c>
      <c r="D33" s="8" t="n">
        <v>64.06</v>
      </c>
      <c r="E33" s="29" t="n">
        <f aca="false">D33/C33-1</f>
        <v>-0.0819719117225566</v>
      </c>
      <c r="F33" s="34" t="s">
        <v>146</v>
      </c>
      <c r="G33" s="4" t="n">
        <f aca="false">COUNTIF(Trades!$B$2:$B$94,A33)</f>
        <v>2</v>
      </c>
      <c r="H33" s="30" t="n">
        <f aca="false">SUMIF(Trades!$B$2:$B$94,A33,Trades!$I$2:$I$94)</f>
        <v>305</v>
      </c>
      <c r="I33" s="30" t="n">
        <f aca="false">SUMIF(Trades!$B$2:$B$94,A33,Trades!$N$2:$N$94)</f>
        <v>83</v>
      </c>
      <c r="J33" s="30" t="n">
        <f aca="false">H33-I33</f>
        <v>222</v>
      </c>
      <c r="K33" s="35" t="n">
        <v>-572</v>
      </c>
      <c r="L33" s="35" t="n">
        <v>2.01</v>
      </c>
      <c r="M33" s="30" t="n">
        <f aca="false">N32</f>
        <v>9390.72</v>
      </c>
      <c r="N33" s="30" t="n">
        <f aca="false">M33+J33+K33+L33</f>
        <v>9042.73</v>
      </c>
      <c r="O33" s="30" t="n">
        <f aca="false">N33-M33</f>
        <v>-347.99</v>
      </c>
      <c r="P33" s="32" t="n">
        <f aca="false">O33/M33</f>
        <v>-0.0370567964969672</v>
      </c>
      <c r="Q33" s="4" t="str">
        <f aca="false">IF(P33&gt;=Summary!$C$7,"Yes","No")</f>
        <v>No</v>
      </c>
      <c r="R33" s="29" t="n">
        <f aca="false">N33/Summary!$C$5-1</f>
        <v>0.205697333333333</v>
      </c>
      <c r="S33" s="30" t="n">
        <f aca="false">Summary!$C$5*(1+Summary!$C$7)^A33</f>
        <v>10312.0550889832</v>
      </c>
      <c r="T33" s="30" t="n">
        <f aca="false">N33-S33</f>
        <v>-1269.32508898323</v>
      </c>
      <c r="U33" s="27" t="n">
        <v>100</v>
      </c>
      <c r="V33" s="30" t="n">
        <f aca="false">Summary!$C$5*D33/Summary!$C$8</f>
        <v>7530.56426332288</v>
      </c>
      <c r="W33" s="30" t="n">
        <f aca="false">Summary!$C$5*(1+Summary!$C$6*7*A33/365)</f>
        <v>7684.1095890411</v>
      </c>
    </row>
    <row r="34" customFormat="false" ht="23.85" hidden="false" customHeight="false" outlineLevel="0" collapsed="false">
      <c r="A34" s="27" t="n">
        <v>33</v>
      </c>
      <c r="B34" s="27" t="s">
        <v>115</v>
      </c>
      <c r="C34" s="8" t="n">
        <v>64.06</v>
      </c>
      <c r="D34" s="8" t="n">
        <v>77.86</v>
      </c>
      <c r="E34" s="29" t="n">
        <f aca="false">D34/C34-1</f>
        <v>0.215423040899157</v>
      </c>
      <c r="F34" s="34" t="s">
        <v>147</v>
      </c>
      <c r="G34" s="4" t="n">
        <f aca="false">COUNTIF(Trades!$B$2:$B$94,A34)</f>
        <v>2</v>
      </c>
      <c r="H34" s="30" t="n">
        <f aca="false">SUMIF(Trades!$B$2:$B$94,A34,Trades!$I$2:$I$94)</f>
        <v>385</v>
      </c>
      <c r="I34" s="30" t="n">
        <f aca="false">SUMIF(Trades!$B$2:$B$94,A34,Trades!$N$2:$N$94)</f>
        <v>465</v>
      </c>
      <c r="J34" s="30" t="n">
        <f aca="false">H34-I34</f>
        <v>-80.0000000000001</v>
      </c>
      <c r="K34" s="35" t="n">
        <v>994</v>
      </c>
      <c r="L34" s="35" t="n">
        <v>3.67</v>
      </c>
      <c r="M34" s="30" t="n">
        <f aca="false">N33</f>
        <v>9042.73</v>
      </c>
      <c r="N34" s="30" t="n">
        <f aca="false">M34+J34+K34+L34</f>
        <v>9960.4</v>
      </c>
      <c r="O34" s="30" t="n">
        <f aca="false">N34-M34</f>
        <v>917.67</v>
      </c>
      <c r="P34" s="32" t="n">
        <f aca="false">O34/M34</f>
        <v>0.10148152162013</v>
      </c>
      <c r="Q34" s="4" t="str">
        <f aca="false">IF(P34&gt;=Summary!$C$7,"Yes","No")</f>
        <v>Yes</v>
      </c>
      <c r="R34" s="29" t="n">
        <f aca="false">N34/Summary!$C$5-1</f>
        <v>0.328053333333333</v>
      </c>
      <c r="S34" s="30" t="n">
        <f aca="false">Summary!$C$5*(1+Summary!$C$7)^A34</f>
        <v>10415.1756398731</v>
      </c>
      <c r="T34" s="30" t="n">
        <f aca="false">N34-S34</f>
        <v>-454.775639873064</v>
      </c>
      <c r="U34" s="27" t="n">
        <v>0</v>
      </c>
      <c r="V34" s="30" t="n">
        <f aca="false">Summary!$C$5*D34/Summary!$C$8</f>
        <v>9152.82131661442</v>
      </c>
      <c r="W34" s="30" t="n">
        <f aca="false">Summary!$C$5*(1+Summary!$C$6*7*A34/365)</f>
        <v>7689.86301369863</v>
      </c>
    </row>
    <row r="35" customFormat="false" ht="23.85" hidden="false" customHeight="false" outlineLevel="0" collapsed="false">
      <c r="A35" s="27" t="n">
        <v>34</v>
      </c>
      <c r="B35" s="27" t="s">
        <v>112</v>
      </c>
      <c r="C35" s="8" t="n">
        <v>77.86</v>
      </c>
      <c r="D35" s="8" t="n">
        <v>76.24</v>
      </c>
      <c r="E35" s="29" t="n">
        <f aca="false">D35/C35-1</f>
        <v>-0.0208065759054714</v>
      </c>
      <c r="F35" s="34" t="s">
        <v>148</v>
      </c>
      <c r="G35" s="4" t="n">
        <f aca="false">COUNTIF(Trades!$B$2:$B$94,A35)</f>
        <v>2</v>
      </c>
      <c r="H35" s="30" t="n">
        <f aca="false">SUMIF(Trades!$B$2:$B$94,A35,Trades!$I$2:$I$94)</f>
        <v>96</v>
      </c>
      <c r="I35" s="30" t="n">
        <f aca="false">SUMIF(Trades!$B$2:$B$94,A35,Trades!$N$2:$N$94)</f>
        <v>3</v>
      </c>
      <c r="J35" s="30" t="n">
        <f aca="false">H35-I35</f>
        <v>93</v>
      </c>
      <c r="K35" s="35" t="n">
        <v>0</v>
      </c>
      <c r="L35" s="35" t="n">
        <v>7.7</v>
      </c>
      <c r="M35" s="30" t="n">
        <f aca="false">N34</f>
        <v>9960.4</v>
      </c>
      <c r="N35" s="30" t="n">
        <f aca="false">M35+J35+K35+L35</f>
        <v>10061.1</v>
      </c>
      <c r="O35" s="30" t="n">
        <f aca="false">N35-M35</f>
        <v>100.700000000001</v>
      </c>
      <c r="P35" s="32" t="n">
        <f aca="false">O35/M35</f>
        <v>0.0101100357415366</v>
      </c>
      <c r="Q35" s="4" t="str">
        <f aca="false">IF(P35&gt;=Summary!$C$7,"Yes","No")</f>
        <v>Yes</v>
      </c>
      <c r="R35" s="29" t="n">
        <f aca="false">N35/Summary!$C$5-1</f>
        <v>0.34148</v>
      </c>
      <c r="S35" s="30" t="n">
        <f aca="false">Summary!$C$5*(1+Summary!$C$7)^A35</f>
        <v>10519.3273962718</v>
      </c>
      <c r="T35" s="30" t="n">
        <f aca="false">N35-S35</f>
        <v>-458.227396271794</v>
      </c>
      <c r="U35" s="27" t="n">
        <v>0</v>
      </c>
      <c r="V35" s="30" t="n">
        <f aca="false">Summary!$C$5*D35/Summary!$C$8</f>
        <v>8962.38244514107</v>
      </c>
      <c r="W35" s="30" t="n">
        <f aca="false">Summary!$C$5*(1+Summary!$C$6*7*A35/365)</f>
        <v>7695.61643835616</v>
      </c>
    </row>
    <row r="36" customFormat="false" ht="23.85" hidden="false" customHeight="false" outlineLevel="0" collapsed="false">
      <c r="A36" s="27" t="n">
        <v>35</v>
      </c>
      <c r="B36" s="27" t="s">
        <v>118</v>
      </c>
      <c r="C36" s="8" t="n">
        <v>76.24</v>
      </c>
      <c r="D36" s="8" t="n">
        <v>64.94</v>
      </c>
      <c r="E36" s="29" t="n">
        <f aca="false">D36/C36-1</f>
        <v>-0.148216159496327</v>
      </c>
      <c r="F36" s="34" t="s">
        <v>149</v>
      </c>
      <c r="G36" s="4" t="n">
        <f aca="false">COUNTIF(Trades!$B$2:$B$94,A36)</f>
        <v>2</v>
      </c>
      <c r="H36" s="30" t="n">
        <f aca="false">SUMIF(Trades!$B$2:$B$94,A36,Trades!$I$2:$I$94)</f>
        <v>171</v>
      </c>
      <c r="I36" s="30" t="n">
        <f aca="false">SUMIF(Trades!$B$2:$B$94,A36,Trades!$N$2:$N$94)</f>
        <v>170</v>
      </c>
      <c r="J36" s="30" t="n">
        <f aca="false">H36-I36</f>
        <v>1</v>
      </c>
      <c r="K36" s="35" t="n">
        <v>-6</v>
      </c>
      <c r="L36" s="35" t="n">
        <v>6.32</v>
      </c>
      <c r="M36" s="30" t="n">
        <f aca="false">N35</f>
        <v>10061.1</v>
      </c>
      <c r="N36" s="30" t="n">
        <f aca="false">M36+J36+K36+L36</f>
        <v>10062.42</v>
      </c>
      <c r="O36" s="30" t="n">
        <f aca="false">N36-M36</f>
        <v>1.31999999999971</v>
      </c>
      <c r="P36" s="32" t="n">
        <f aca="false">O36/M36</f>
        <v>0.000131198377910935</v>
      </c>
      <c r="Q36" s="4" t="str">
        <f aca="false">IF(P36&gt;=Summary!$C$7,"Yes","No")</f>
        <v>No</v>
      </c>
      <c r="R36" s="29" t="n">
        <f aca="false">N36/Summary!$C$5-1</f>
        <v>0.341656</v>
      </c>
      <c r="S36" s="30" t="n">
        <f aca="false">Summary!$C$5*(1+Summary!$C$7)^A36</f>
        <v>10624.5206702345</v>
      </c>
      <c r="T36" s="30" t="n">
        <f aca="false">N36-S36</f>
        <v>-562.100670234511</v>
      </c>
      <c r="U36" s="27" t="n">
        <v>100</v>
      </c>
      <c r="V36" s="30" t="n">
        <f aca="false">Summary!$C$5*D36/Summary!$C$8</f>
        <v>7634.01253918495</v>
      </c>
      <c r="W36" s="30" t="n">
        <f aca="false">Summary!$C$5*(1+Summary!$C$6*7*A36/365)</f>
        <v>7701.3698630137</v>
      </c>
    </row>
    <row r="37" customFormat="false" ht="15" hidden="false" customHeight="false" outlineLevel="0" collapsed="false">
      <c r="A37" s="27" t="n">
        <v>36</v>
      </c>
      <c r="B37" s="27" t="s">
        <v>110</v>
      </c>
      <c r="C37" s="8" t="n">
        <v>64.94</v>
      </c>
      <c r="D37" s="8" t="n">
        <v>64.33</v>
      </c>
      <c r="E37" s="29" t="n">
        <f aca="false">D37/C37-1</f>
        <v>-0.00939328611025558</v>
      </c>
      <c r="F37" s="34" t="s">
        <v>150</v>
      </c>
      <c r="G37" s="4" t="n">
        <f aca="false">COUNTIF(Trades!$B$2:$B$94,A37)</f>
        <v>1</v>
      </c>
      <c r="H37" s="30" t="n">
        <f aca="false">SUMIF(Trades!$B$2:$B$94,A37,Trades!$I$2:$I$94)</f>
        <v>183</v>
      </c>
      <c r="I37" s="30" t="n">
        <f aca="false">SUMIF(Trades!$B$2:$B$94,A37,Trades!$N$2:$N$94)</f>
        <v>0</v>
      </c>
      <c r="J37" s="30" t="n">
        <f aca="false">H37-I37</f>
        <v>183</v>
      </c>
      <c r="K37" s="35" t="n">
        <v>-61</v>
      </c>
      <c r="L37" s="35" t="n">
        <v>2.88</v>
      </c>
      <c r="M37" s="30" t="n">
        <f aca="false">N36</f>
        <v>10062.42</v>
      </c>
      <c r="N37" s="30" t="n">
        <f aca="false">M37+J37+K37+L37</f>
        <v>10187.3</v>
      </c>
      <c r="O37" s="30" t="n">
        <f aca="false">N37-M37</f>
        <v>124.879999999999</v>
      </c>
      <c r="P37" s="32" t="n">
        <f aca="false">O37/M37</f>
        <v>0.0124105334502037</v>
      </c>
      <c r="Q37" s="4" t="str">
        <f aca="false">IF(P37&gt;=Summary!$C$7,"Yes","No")</f>
        <v>Yes</v>
      </c>
      <c r="R37" s="29" t="n">
        <f aca="false">N37/Summary!$C$5-1</f>
        <v>0.358306666666667</v>
      </c>
      <c r="S37" s="30" t="n">
        <f aca="false">Summary!$C$5*(1+Summary!$C$7)^A37</f>
        <v>10730.7658769369</v>
      </c>
      <c r="T37" s="30" t="n">
        <f aca="false">N37-S37</f>
        <v>-543.465876936858</v>
      </c>
      <c r="U37" s="27" t="n">
        <v>100</v>
      </c>
      <c r="V37" s="30" t="n">
        <f aca="false">Summary!$C$5*D37/Summary!$C$8</f>
        <v>7562.30407523511</v>
      </c>
      <c r="W37" s="30" t="n">
        <f aca="false">Summary!$C$5*(1+Summary!$C$6*7*A37/365)</f>
        <v>7707.12328767123</v>
      </c>
    </row>
    <row r="38" customFormat="false" ht="23.85" hidden="false" customHeight="false" outlineLevel="0" collapsed="false">
      <c r="A38" s="27" t="n">
        <v>37</v>
      </c>
      <c r="B38" s="27" t="s">
        <v>112</v>
      </c>
      <c r="C38" s="8" t="n">
        <v>64.33</v>
      </c>
      <c r="D38" s="8" t="n">
        <v>64.64</v>
      </c>
      <c r="E38" s="29" t="n">
        <f aca="false">D38/C38-1</f>
        <v>0.00481890253381012</v>
      </c>
      <c r="F38" s="34" t="s">
        <v>151</v>
      </c>
      <c r="G38" s="4" t="n">
        <f aca="false">COUNTIF(Trades!$B$2:$B$94,A38)</f>
        <v>2</v>
      </c>
      <c r="H38" s="30" t="n">
        <f aca="false">SUMIF(Trades!$B$2:$B$94,A38,Trades!$I$2:$I$94)</f>
        <v>208</v>
      </c>
      <c r="I38" s="30" t="n">
        <f aca="false">SUMIF(Trades!$B$2:$B$94,A38,Trades!$N$2:$N$94)</f>
        <v>1</v>
      </c>
      <c r="J38" s="30" t="n">
        <f aca="false">H38-I38</f>
        <v>207</v>
      </c>
      <c r="K38" s="35" t="n">
        <v>31</v>
      </c>
      <c r="L38" s="35" t="n">
        <v>3.04</v>
      </c>
      <c r="M38" s="30" t="n">
        <f aca="false">N37</f>
        <v>10187.3</v>
      </c>
      <c r="N38" s="30" t="n">
        <f aca="false">M38+J38+K38+L38</f>
        <v>10428.34</v>
      </c>
      <c r="O38" s="30" t="n">
        <f aca="false">N38-M38</f>
        <v>241.040000000001</v>
      </c>
      <c r="P38" s="32" t="n">
        <f aca="false">O38/M38</f>
        <v>0.0236608326053028</v>
      </c>
      <c r="Q38" s="4" t="str">
        <f aca="false">IF(P38&gt;=Summary!$C$7,"Yes","No")</f>
        <v>Yes</v>
      </c>
      <c r="R38" s="29" t="n">
        <f aca="false">N38/Summary!$C$5-1</f>
        <v>0.390445333333333</v>
      </c>
      <c r="S38" s="30" t="n">
        <f aca="false">Summary!$C$5*(1+Summary!$C$7)^A38</f>
        <v>10838.0735357062</v>
      </c>
      <c r="T38" s="30" t="n">
        <f aca="false">N38-S38</f>
        <v>-409.733535706226</v>
      </c>
      <c r="U38" s="27" t="n">
        <v>100</v>
      </c>
      <c r="V38" s="30" t="n">
        <f aca="false">Summary!$C$5*D38/Summary!$C$8</f>
        <v>7598.7460815047</v>
      </c>
      <c r="W38" s="30" t="n">
        <f aca="false">Summary!$C$5*(1+Summary!$C$6*7*A38/365)</f>
        <v>7712.87671232877</v>
      </c>
    </row>
    <row r="39" customFormat="false" ht="15" hidden="false" customHeight="false" outlineLevel="0" collapsed="false">
      <c r="A39" s="27" t="n">
        <v>38</v>
      </c>
      <c r="B39" s="27" t="s">
        <v>112</v>
      </c>
      <c r="C39" s="8" t="n">
        <v>64.64</v>
      </c>
      <c r="D39" s="8" t="n">
        <v>69.33</v>
      </c>
      <c r="E39" s="29" t="n">
        <f aca="false">D39/C39-1</f>
        <v>0.072555693069307</v>
      </c>
      <c r="F39" s="34" t="s">
        <v>152</v>
      </c>
      <c r="G39" s="4" t="n">
        <f aca="false">COUNTIF(Trades!$B$2:$B$94,A39)</f>
        <v>1</v>
      </c>
      <c r="H39" s="30" t="n">
        <f aca="false">SUMIF(Trades!$B$2:$B$94,A39,Trades!$I$2:$I$94)</f>
        <v>96</v>
      </c>
      <c r="I39" s="30" t="n">
        <f aca="false">SUMIF(Trades!$B$2:$B$94,A39,Trades!$N$2:$N$94)</f>
        <v>0</v>
      </c>
      <c r="J39" s="30" t="n">
        <f aca="false">H39-I39</f>
        <v>96</v>
      </c>
      <c r="K39" s="35" t="n">
        <v>436</v>
      </c>
      <c r="L39" s="35" t="n">
        <v>4.63</v>
      </c>
      <c r="M39" s="30" t="n">
        <f aca="false">N38</f>
        <v>10428.34</v>
      </c>
      <c r="N39" s="30" t="n">
        <f aca="false">M39+J39+K39+L39</f>
        <v>10964.97</v>
      </c>
      <c r="O39" s="30" t="n">
        <f aca="false">N39-M39</f>
        <v>536.629999999999</v>
      </c>
      <c r="P39" s="32" t="n">
        <f aca="false">O39/M39</f>
        <v>0.0514588131955804</v>
      </c>
      <c r="Q39" s="4" t="str">
        <f aca="false">IF(P39&gt;=Summary!$C$7,"Yes","No")</f>
        <v>Yes</v>
      </c>
      <c r="R39" s="29" t="n">
        <f aca="false">N39/Summary!$C$5-1</f>
        <v>0.461996</v>
      </c>
      <c r="S39" s="30" t="n">
        <f aca="false">Summary!$C$5*(1+Summary!$C$7)^A39</f>
        <v>10946.4542710633</v>
      </c>
      <c r="T39" s="30" t="n">
        <f aca="false">N39-S39</f>
        <v>18.5157289367107</v>
      </c>
      <c r="U39" s="27" t="n">
        <v>0</v>
      </c>
      <c r="V39" s="30" t="n">
        <f aca="false">Summary!$C$5*D39/Summary!$C$8</f>
        <v>8150.07836990596</v>
      </c>
      <c r="W39" s="30" t="n">
        <f aca="false">Summary!$C$5*(1+Summary!$C$6*7*A39/365)</f>
        <v>7718.6301369863</v>
      </c>
    </row>
    <row r="40" customFormat="false" ht="15" hidden="false" customHeight="false" outlineLevel="0" collapsed="false">
      <c r="A40" s="27" t="n">
        <v>39</v>
      </c>
      <c r="B40" s="27" t="s">
        <v>128</v>
      </c>
      <c r="C40" s="8" t="n">
        <v>69.33</v>
      </c>
      <c r="D40" s="8" t="n">
        <v>65.75</v>
      </c>
      <c r="E40" s="29" t="n">
        <f aca="false">D40/C40-1</f>
        <v>-0.0516370979374008</v>
      </c>
      <c r="F40" s="34" t="s">
        <v>153</v>
      </c>
      <c r="G40" s="4" t="n">
        <f aca="false">COUNTIF(Trades!$B$2:$B$94,A40)</f>
        <v>1</v>
      </c>
      <c r="H40" s="30" t="n">
        <f aca="false">SUMIF(Trades!$B$2:$B$94,A40,Trades!$I$2:$I$94)</f>
        <v>59</v>
      </c>
      <c r="I40" s="30" t="n">
        <f aca="false">SUMIF(Trades!$B$2:$B$94,A40,Trades!$N$2:$N$94)</f>
        <v>17</v>
      </c>
      <c r="J40" s="30" t="n">
        <f aca="false">H40-I40</f>
        <v>42</v>
      </c>
      <c r="K40" s="35" t="n">
        <v>0</v>
      </c>
      <c r="L40" s="35" t="n">
        <v>8.45</v>
      </c>
      <c r="M40" s="30" t="n">
        <f aca="false">N39</f>
        <v>10964.97</v>
      </c>
      <c r="N40" s="30" t="n">
        <f aca="false">M40+J40+K40+L40</f>
        <v>11015.42</v>
      </c>
      <c r="O40" s="30" t="n">
        <f aca="false">N40-M40</f>
        <v>50.4500000000007</v>
      </c>
      <c r="P40" s="32" t="n">
        <f aca="false">O40/M40</f>
        <v>0.004601015780253</v>
      </c>
      <c r="Q40" s="4" t="str">
        <f aca="false">IF(P40&gt;=Summary!$C$7,"Yes","No")</f>
        <v>No</v>
      </c>
      <c r="R40" s="29" t="n">
        <f aca="false">N40/Summary!$C$5-1</f>
        <v>0.468722666666667</v>
      </c>
      <c r="S40" s="30" t="n">
        <f aca="false">Summary!$C$5*(1+Summary!$C$7)^A40</f>
        <v>11055.9188137739</v>
      </c>
      <c r="T40" s="30" t="n">
        <f aca="false">N40-S40</f>
        <v>-40.4988137739219</v>
      </c>
      <c r="U40" s="27" t="n">
        <v>0</v>
      </c>
      <c r="V40" s="30" t="n">
        <f aca="false">Summary!$C$5*D40/Summary!$C$8</f>
        <v>7729.23197492163</v>
      </c>
      <c r="W40" s="30" t="n">
        <f aca="false">Summary!$C$5*(1+Summary!$C$6*7*A40/365)</f>
        <v>7724.38356164384</v>
      </c>
    </row>
    <row r="41" customFormat="false" ht="15" hidden="false" customHeight="false" outlineLevel="0" collapsed="false">
      <c r="A41" s="27" t="n">
        <v>40</v>
      </c>
      <c r="B41" s="27" t="s">
        <v>112</v>
      </c>
      <c r="C41" s="8" t="n">
        <v>65.75</v>
      </c>
      <c r="D41" s="8" t="n">
        <v>62.64</v>
      </c>
      <c r="E41" s="29" t="n">
        <f aca="false">D41/C41-1</f>
        <v>-0.0473003802281369</v>
      </c>
      <c r="F41" s="34" t="s">
        <v>154</v>
      </c>
      <c r="G41" s="4" t="n">
        <f aca="false">COUNTIF(Trades!$B$2:$B$94,A41)</f>
        <v>1</v>
      </c>
      <c r="H41" s="30" t="n">
        <f aca="false">SUMIF(Trades!$B$2:$B$94,A41,Trades!$I$2:$I$94)</f>
        <v>43</v>
      </c>
      <c r="I41" s="30" t="n">
        <f aca="false">SUMIF(Trades!$B$2:$B$94,A41,Trades!$N$2:$N$94)</f>
        <v>0</v>
      </c>
      <c r="J41" s="30" t="n">
        <f aca="false">H41-I41</f>
        <v>43</v>
      </c>
      <c r="K41" s="35" t="n">
        <v>0</v>
      </c>
      <c r="L41" s="35" t="n">
        <v>8.47</v>
      </c>
      <c r="M41" s="30" t="n">
        <f aca="false">N40</f>
        <v>11015.42</v>
      </c>
      <c r="N41" s="30" t="n">
        <f aca="false">M41+J41+K41+L41</f>
        <v>11066.89</v>
      </c>
      <c r="O41" s="30" t="n">
        <f aca="false">N41-M41</f>
        <v>51.4699999999993</v>
      </c>
      <c r="P41" s="32" t="n">
        <f aca="false">O41/M41</f>
        <v>0.00467254085636311</v>
      </c>
      <c r="Q41" s="4" t="str">
        <f aca="false">IF(P41&gt;=Summary!$C$7,"Yes","No")</f>
        <v>No</v>
      </c>
      <c r="R41" s="29" t="n">
        <f aca="false">N41/Summary!$C$5-1</f>
        <v>0.475585333333333</v>
      </c>
      <c r="S41" s="30" t="n">
        <f aca="false">Summary!$C$5*(1+Summary!$C$7)^A41</f>
        <v>11166.4780019117</v>
      </c>
      <c r="T41" s="30" t="n">
        <f aca="false">N41-S41</f>
        <v>-99.5880019116612</v>
      </c>
      <c r="U41" s="27" t="n">
        <v>0</v>
      </c>
      <c r="V41" s="30" t="n">
        <f aca="false">Summary!$C$5*D41/Summary!$C$8</f>
        <v>7363.63636363636</v>
      </c>
      <c r="W41" s="30" t="n">
        <f aca="false">Summary!$C$5*(1+Summary!$C$6*7*A41/365)</f>
        <v>7730.13698630137</v>
      </c>
    </row>
    <row r="42" customFormat="false" ht="23.85" hidden="false" customHeight="false" outlineLevel="0" collapsed="false">
      <c r="A42" s="27" t="n">
        <v>41</v>
      </c>
      <c r="B42" s="27" t="s">
        <v>118</v>
      </c>
      <c r="C42" s="8" t="n">
        <v>62.64</v>
      </c>
      <c r="D42" s="8" t="n">
        <v>59.04</v>
      </c>
      <c r="E42" s="29" t="n">
        <f aca="false">D42/C42-1</f>
        <v>-0.0574712643678161</v>
      </c>
      <c r="F42" s="34" t="s">
        <v>155</v>
      </c>
      <c r="G42" s="4" t="n">
        <f aca="false">COUNTIF(Trades!$B$2:$B$94,A42)</f>
        <v>2</v>
      </c>
      <c r="H42" s="30" t="n">
        <f aca="false">SUMIF(Trades!$B$2:$B$94,A42,Trades!$I$2:$I$94)</f>
        <v>183</v>
      </c>
      <c r="I42" s="30" t="n">
        <f aca="false">SUMIF(Trades!$B$2:$B$94,A42,Trades!$N$2:$N$94)</f>
        <v>183</v>
      </c>
      <c r="J42" s="30" t="n">
        <f aca="false">H42-I42</f>
        <v>0</v>
      </c>
      <c r="K42" s="35" t="n">
        <v>0</v>
      </c>
      <c r="L42" s="35" t="n">
        <v>8.51</v>
      </c>
      <c r="M42" s="30" t="n">
        <f aca="false">N41</f>
        <v>11066.89</v>
      </c>
      <c r="N42" s="30" t="n">
        <f aca="false">M42+J42+K42+L42</f>
        <v>11075.4</v>
      </c>
      <c r="O42" s="30" t="n">
        <f aca="false">N42-M42</f>
        <v>8.51000000000022</v>
      </c>
      <c r="P42" s="32" t="n">
        <f aca="false">O42/M42</f>
        <v>0.000768960385438024</v>
      </c>
      <c r="Q42" s="4" t="str">
        <f aca="false">IF(P42&gt;=Summary!$C$7,"Yes","No")</f>
        <v>No</v>
      </c>
      <c r="R42" s="29" t="n">
        <f aca="false">N42/Summary!$C$5-1</f>
        <v>0.47672</v>
      </c>
      <c r="S42" s="30" t="n">
        <f aca="false">Summary!$C$5*(1+Summary!$C$7)^A42</f>
        <v>11278.1427819308</v>
      </c>
      <c r="T42" s="30" t="n">
        <f aca="false">N42-S42</f>
        <v>-202.742781930778</v>
      </c>
      <c r="U42" s="27" t="n">
        <v>0</v>
      </c>
      <c r="V42" s="30" t="n">
        <f aca="false">Summary!$C$5*D42/Summary!$C$8</f>
        <v>6940.43887147336</v>
      </c>
      <c r="W42" s="30" t="n">
        <f aca="false">Summary!$C$5*(1+Summary!$C$6*7*A42/365)</f>
        <v>7735.8904109589</v>
      </c>
    </row>
    <row r="43" customFormat="false" ht="35.05" hidden="false" customHeight="false" outlineLevel="0" collapsed="false">
      <c r="A43" s="27" t="n">
        <v>42</v>
      </c>
      <c r="B43" s="27" t="s">
        <v>110</v>
      </c>
      <c r="C43" s="8" t="n">
        <v>59.04</v>
      </c>
      <c r="D43" s="8" t="n">
        <v>67.27</v>
      </c>
      <c r="E43" s="29" t="n">
        <f aca="false">D43/C43-1</f>
        <v>0.13939701897019</v>
      </c>
      <c r="F43" s="34" t="s">
        <v>156</v>
      </c>
      <c r="G43" s="4" t="n">
        <f aca="false">COUNTIF(Trades!$B$2:$B$94,A43)</f>
        <v>3</v>
      </c>
      <c r="H43" s="30" t="n">
        <f aca="false">SUMIF(Trades!$B$2:$B$94,A43,Trades!$I$2:$I$94)</f>
        <v>112</v>
      </c>
      <c r="I43" s="30" t="n">
        <f aca="false">SUMIF(Trades!$B$2:$B$94,A43,Trades!$N$2:$N$94)</f>
        <v>4</v>
      </c>
      <c r="J43" s="30" t="n">
        <f aca="false">H43-I43</f>
        <v>108</v>
      </c>
      <c r="K43" s="35" t="n">
        <v>0</v>
      </c>
      <c r="L43" s="35" t="n">
        <v>8.57</v>
      </c>
      <c r="M43" s="30" t="n">
        <f aca="false">N42</f>
        <v>11075.4</v>
      </c>
      <c r="N43" s="30" t="n">
        <f aca="false">M43+J43+K43+L43</f>
        <v>11191.97</v>
      </c>
      <c r="O43" s="30" t="n">
        <f aca="false">N43-M43</f>
        <v>116.57</v>
      </c>
      <c r="P43" s="32" t="n">
        <f aca="false">O43/M43</f>
        <v>0.0105251277606226</v>
      </c>
      <c r="Q43" s="4" t="str">
        <f aca="false">IF(P43&gt;=Summary!$C$7,"Yes","No")</f>
        <v>Yes</v>
      </c>
      <c r="R43" s="29" t="n">
        <f aca="false">N43/Summary!$C$5-1</f>
        <v>0.492262666666667</v>
      </c>
      <c r="S43" s="30" t="n">
        <f aca="false">Summary!$C$5*(1+Summary!$C$7)^A43</f>
        <v>11390.9242097501</v>
      </c>
      <c r="T43" s="30" t="n">
        <f aca="false">N43-S43</f>
        <v>-198.954209750085</v>
      </c>
      <c r="U43" s="27" t="n">
        <v>0</v>
      </c>
      <c r="V43" s="30" t="n">
        <f aca="false">Summary!$C$5*D43/Summary!$C$8</f>
        <v>7907.91536050157</v>
      </c>
      <c r="W43" s="30" t="n">
        <f aca="false">Summary!$C$5*(1+Summary!$C$6*7*A43/365)</f>
        <v>7741.64383561644</v>
      </c>
    </row>
    <row r="44" customFormat="false" ht="35.05" hidden="false" customHeight="false" outlineLevel="0" collapsed="false">
      <c r="A44" s="27" t="n">
        <v>43</v>
      </c>
      <c r="B44" s="27" t="s">
        <v>115</v>
      </c>
      <c r="C44" s="8" t="n">
        <v>67.27</v>
      </c>
      <c r="D44" s="8" t="n">
        <v>74.51</v>
      </c>
      <c r="E44" s="29" t="n">
        <f aca="false">D44/C44-1</f>
        <v>0.107625984837223</v>
      </c>
      <c r="F44" s="34" t="s">
        <v>157</v>
      </c>
      <c r="G44" s="4" t="n">
        <f aca="false">COUNTIF(Trades!$B$2:$B$94,A44)</f>
        <v>3</v>
      </c>
      <c r="H44" s="30" t="n">
        <f aca="false">SUMIF(Trades!$B$2:$B$94,A44,Trades!$I$2:$I$94)</f>
        <v>155</v>
      </c>
      <c r="I44" s="30" t="n">
        <f aca="false">SUMIF(Trades!$B$2:$B$94,A44,Trades!$N$2:$N$94)</f>
        <v>3</v>
      </c>
      <c r="J44" s="30" t="n">
        <f aca="false">H44-I44</f>
        <v>152</v>
      </c>
      <c r="K44" s="35" t="n">
        <v>0</v>
      </c>
      <c r="L44" s="35" t="n">
        <v>8.69</v>
      </c>
      <c r="M44" s="30" t="n">
        <f aca="false">N43</f>
        <v>11191.97</v>
      </c>
      <c r="N44" s="30" t="n">
        <f aca="false">M44+J44+K44+L44</f>
        <v>11352.66</v>
      </c>
      <c r="O44" s="30" t="n">
        <f aca="false">N44-M44</f>
        <v>160.690000000001</v>
      </c>
      <c r="P44" s="32" t="n">
        <f aca="false">O44/M44</f>
        <v>0.0143576153259882</v>
      </c>
      <c r="Q44" s="4" t="str">
        <f aca="false">IF(P44&gt;=Summary!$C$7,"Yes","No")</f>
        <v>Yes</v>
      </c>
      <c r="R44" s="29" t="n">
        <f aca="false">N44/Summary!$C$5-1</f>
        <v>0.513688</v>
      </c>
      <c r="S44" s="30" t="n">
        <f aca="false">Summary!$C$5*(1+Summary!$C$7)^A44</f>
        <v>11504.8334518476</v>
      </c>
      <c r="T44" s="30" t="n">
        <f aca="false">N44-S44</f>
        <v>-152.173451847586</v>
      </c>
      <c r="U44" s="27" t="n">
        <v>0</v>
      </c>
      <c r="V44" s="30" t="n">
        <f aca="false">Summary!$C$5*D44/Summary!$C$8</f>
        <v>8759.01253918495</v>
      </c>
      <c r="W44" s="30" t="n">
        <f aca="false">Summary!$C$5*(1+Summary!$C$6*7*A44/365)</f>
        <v>7747.39726027397</v>
      </c>
    </row>
    <row r="45" customFormat="false" ht="15" hidden="false" customHeight="false" outlineLevel="0" collapsed="false">
      <c r="A45" s="27" t="n">
        <v>44</v>
      </c>
      <c r="B45" s="27" t="s">
        <v>128</v>
      </c>
      <c r="C45" s="8" t="n">
        <v>74.51</v>
      </c>
      <c r="D45" s="8" t="n">
        <v>75.09</v>
      </c>
      <c r="E45" s="29" t="n">
        <f aca="false">D45/C45-1</f>
        <v>0.00778419004160513</v>
      </c>
      <c r="F45" s="34" t="s">
        <v>158</v>
      </c>
      <c r="G45" s="4" t="n">
        <f aca="false">COUNTIF(Trades!$B$2:$B$94,A45)</f>
        <v>1</v>
      </c>
      <c r="H45" s="30" t="n">
        <f aca="false">SUMIF(Trades!$B$2:$B$94,A45,Trades!$I$2:$I$94)</f>
        <v>64</v>
      </c>
      <c r="I45" s="30" t="n">
        <f aca="false">SUMIF(Trades!$B$2:$B$94,A45,Trades!$N$2:$N$94)</f>
        <v>1</v>
      </c>
      <c r="J45" s="30" t="n">
        <f aca="false">H45-I45</f>
        <v>63</v>
      </c>
      <c r="K45" s="35" t="n">
        <v>0</v>
      </c>
      <c r="L45" s="35" t="n">
        <v>8.76</v>
      </c>
      <c r="M45" s="30" t="n">
        <f aca="false">N44</f>
        <v>11352.66</v>
      </c>
      <c r="N45" s="30" t="n">
        <f aca="false">M45+J45+K45+L45</f>
        <v>11424.42</v>
      </c>
      <c r="O45" s="30" t="n">
        <f aca="false">N45-M45</f>
        <v>71.7600000000002</v>
      </c>
      <c r="P45" s="32" t="n">
        <f aca="false">O45/M45</f>
        <v>0.0063209855663783</v>
      </c>
      <c r="Q45" s="4" t="str">
        <f aca="false">IF(P45&gt;=Summary!$C$7,"Yes","No")</f>
        <v>No</v>
      </c>
      <c r="R45" s="29" t="n">
        <f aca="false">N45/Summary!$C$5-1</f>
        <v>0.523256</v>
      </c>
      <c r="S45" s="30" t="n">
        <f aca="false">Summary!$C$5*(1+Summary!$C$7)^A45</f>
        <v>11619.8817863661</v>
      </c>
      <c r="T45" s="30" t="n">
        <f aca="false">N45-S45</f>
        <v>-195.461786366062</v>
      </c>
      <c r="U45" s="27" t="n">
        <v>0</v>
      </c>
      <c r="V45" s="30" t="n">
        <f aca="false">Summary!$C$5*D45/Summary!$C$8</f>
        <v>8827.19435736677</v>
      </c>
      <c r="W45" s="30" t="n">
        <f aca="false">Summary!$C$5*(1+Summary!$C$6*7*A45/365)</f>
        <v>7753.15068493151</v>
      </c>
    </row>
    <row r="46" customFormat="false" ht="23.85" hidden="false" customHeight="false" outlineLevel="0" collapsed="false">
      <c r="A46" s="27" t="n">
        <v>45</v>
      </c>
      <c r="B46" s="27" t="s">
        <v>118</v>
      </c>
      <c r="C46" s="8" t="n">
        <v>75.09</v>
      </c>
      <c r="D46" s="8" t="n">
        <v>57.11</v>
      </c>
      <c r="E46" s="29" t="n">
        <f aca="false">D46/C46-1</f>
        <v>-0.239445998135571</v>
      </c>
      <c r="F46" s="34" t="s">
        <v>159</v>
      </c>
      <c r="G46" s="4" t="n">
        <f aca="false">COUNTIF(Trades!$B$2:$B$94,A46)</f>
        <v>2</v>
      </c>
      <c r="H46" s="30" t="n">
        <f aca="false">SUMIF(Trades!$B$2:$B$94,A46,Trades!$I$2:$I$94)</f>
        <v>39</v>
      </c>
      <c r="I46" s="30" t="n">
        <f aca="false">SUMIF(Trades!$B$2:$B$94,A46,Trades!$N$2:$N$94)</f>
        <v>433</v>
      </c>
      <c r="J46" s="30" t="n">
        <f aca="false">H46-I46</f>
        <v>-394</v>
      </c>
      <c r="K46" s="35" t="n">
        <v>0</v>
      </c>
      <c r="L46" s="35" t="n">
        <v>8.6</v>
      </c>
      <c r="M46" s="30" t="n">
        <f aca="false">N45</f>
        <v>11424.42</v>
      </c>
      <c r="N46" s="30" t="n">
        <f aca="false">M46+J46+K46+L46</f>
        <v>11039.02</v>
      </c>
      <c r="O46" s="30" t="n">
        <f aca="false">N46-M46</f>
        <v>-385.4</v>
      </c>
      <c r="P46" s="32" t="n">
        <f aca="false">O46/M46</f>
        <v>-0.0337347541494448</v>
      </c>
      <c r="Q46" s="4" t="str">
        <f aca="false">IF(P46&gt;=Summary!$C$7,"Yes","No")</f>
        <v>No</v>
      </c>
      <c r="R46" s="29" t="n">
        <f aca="false">N46/Summary!$C$5-1</f>
        <v>0.471869333333334</v>
      </c>
      <c r="S46" s="30" t="n">
        <f aca="false">Summary!$C$5*(1+Summary!$C$7)^A46</f>
        <v>11736.0806042297</v>
      </c>
      <c r="T46" s="30" t="n">
        <f aca="false">N46-S46</f>
        <v>-697.060604229722</v>
      </c>
      <c r="U46" s="27" t="n">
        <v>0</v>
      </c>
      <c r="V46" s="30" t="n">
        <f aca="false">Summary!$C$5*D46/Summary!$C$8</f>
        <v>6713.55799373041</v>
      </c>
      <c r="W46" s="30" t="n">
        <f aca="false">Summary!$C$5*(1+Summary!$C$6*7*A46/365)</f>
        <v>7758.90410958904</v>
      </c>
    </row>
    <row r="47" customFormat="false" ht="35.05" hidden="false" customHeight="false" outlineLevel="0" collapsed="false">
      <c r="A47" s="27" t="n">
        <v>46</v>
      </c>
      <c r="B47" s="27" t="s">
        <v>115</v>
      </c>
      <c r="C47" s="8" t="n">
        <v>57.11</v>
      </c>
      <c r="D47" s="8" t="n">
        <v>60.47</v>
      </c>
      <c r="E47" s="29" t="n">
        <f aca="false">D47/C47-1</f>
        <v>0.0588338294519348</v>
      </c>
      <c r="F47" s="34" t="s">
        <v>160</v>
      </c>
      <c r="G47" s="4" t="n">
        <f aca="false">COUNTIF(Trades!$B$2:$B$94,A47)</f>
        <v>3</v>
      </c>
      <c r="H47" s="30" t="n">
        <f aca="false">SUMIF(Trades!$B$2:$B$94,A47,Trades!$I$2:$I$94)</f>
        <v>73</v>
      </c>
      <c r="I47" s="30" t="n">
        <f aca="false">SUMIF(Trades!$B$2:$B$94,A47,Trades!$N$2:$N$94)</f>
        <v>2</v>
      </c>
      <c r="J47" s="30" t="n">
        <f aca="false">H47-I47</f>
        <v>71</v>
      </c>
      <c r="K47" s="35" t="n">
        <v>0</v>
      </c>
      <c r="L47" s="35" t="n">
        <v>8.52</v>
      </c>
      <c r="M47" s="30" t="n">
        <f aca="false">N46</f>
        <v>11039.02</v>
      </c>
      <c r="N47" s="30" t="n">
        <f aca="false">M47+J47+K47+L47</f>
        <v>11118.54</v>
      </c>
      <c r="O47" s="30" t="n">
        <f aca="false">N47-M47</f>
        <v>79.5200000000004</v>
      </c>
      <c r="P47" s="32" t="n">
        <f aca="false">O47/M47</f>
        <v>0.00720353799522063</v>
      </c>
      <c r="Q47" s="4" t="str">
        <f aca="false">IF(P47&gt;=Summary!$C$7,"Yes","No")</f>
        <v>No</v>
      </c>
      <c r="R47" s="29" t="n">
        <f aca="false">N47/Summary!$C$5-1</f>
        <v>0.482472</v>
      </c>
      <c r="S47" s="30" t="n">
        <f aca="false">Summary!$C$5*(1+Summary!$C$7)^A47</f>
        <v>11853.441410272</v>
      </c>
      <c r="T47" s="30" t="n">
        <f aca="false">N47-S47</f>
        <v>-734.901410272018</v>
      </c>
      <c r="U47" s="27" t="n">
        <v>0</v>
      </c>
      <c r="V47" s="30" t="n">
        <f aca="false">Summary!$C$5*D47/Summary!$C$8</f>
        <v>7108.54231974922</v>
      </c>
      <c r="W47" s="30" t="n">
        <f aca="false">Summary!$C$5*(1+Summary!$C$6*7*A47/365)</f>
        <v>7764.65753424658</v>
      </c>
    </row>
    <row r="48" customFormat="false" ht="35.05" hidden="false" customHeight="false" outlineLevel="0" collapsed="false">
      <c r="A48" s="27" t="n">
        <v>47</v>
      </c>
      <c r="B48" s="27" t="s">
        <v>128</v>
      </c>
      <c r="C48" s="8" t="n">
        <v>60.47</v>
      </c>
      <c r="D48" s="8" t="n">
        <v>64.56</v>
      </c>
      <c r="E48" s="29" t="n">
        <f aca="false">D48/C48-1</f>
        <v>0.0676368447163884</v>
      </c>
      <c r="F48" s="34" t="s">
        <v>161</v>
      </c>
      <c r="G48" s="4" t="n">
        <f aca="false">COUNTIF(Trades!$B$2:$B$94,A48)</f>
        <v>3</v>
      </c>
      <c r="H48" s="30" t="n">
        <f aca="false">SUMIF(Trades!$B$2:$B$94,A48,Trades!$I$2:$I$94)</f>
        <v>86</v>
      </c>
      <c r="I48" s="30" t="n">
        <f aca="false">SUMIF(Trades!$B$2:$B$94,A48,Trades!$N$2:$N$94)</f>
        <v>2</v>
      </c>
      <c r="J48" s="30" t="n">
        <f aca="false">H48-I48</f>
        <v>84</v>
      </c>
      <c r="K48" s="35" t="n">
        <v>0</v>
      </c>
      <c r="L48" s="35" t="n">
        <v>8.59</v>
      </c>
      <c r="M48" s="30" t="n">
        <f aca="false">N47</f>
        <v>11118.54</v>
      </c>
      <c r="N48" s="30" t="n">
        <f aca="false">M48+J48+K48+L48</f>
        <v>11211.13</v>
      </c>
      <c r="O48" s="30" t="n">
        <f aca="false">N48-M48</f>
        <v>92.5900000000002</v>
      </c>
      <c r="P48" s="32" t="n">
        <f aca="false">O48/M48</f>
        <v>0.00832753221196309</v>
      </c>
      <c r="Q48" s="4" t="str">
        <f aca="false">IF(P48&gt;=Summary!$C$7,"Yes","No")</f>
        <v>No</v>
      </c>
      <c r="R48" s="29" t="n">
        <f aca="false">N48/Summary!$C$5-1</f>
        <v>0.494817333333333</v>
      </c>
      <c r="S48" s="30" t="n">
        <f aca="false">Summary!$C$5*(1+Summary!$C$7)^A48</f>
        <v>11971.9758243747</v>
      </c>
      <c r="T48" s="30" t="n">
        <f aca="false">N48-S48</f>
        <v>-760.845824374739</v>
      </c>
      <c r="U48" s="27" t="n">
        <v>0</v>
      </c>
      <c r="V48" s="30" t="n">
        <f aca="false">Summary!$C$5*D48/Summary!$C$8</f>
        <v>7589.34169278997</v>
      </c>
      <c r="W48" s="30" t="n">
        <f aca="false">Summary!$C$5*(1+Summary!$C$6*7*A48/365)</f>
        <v>7770.41095890411</v>
      </c>
    </row>
    <row r="49" customFormat="false" ht="35.05" hidden="false" customHeight="false" outlineLevel="0" collapsed="false">
      <c r="A49" s="27" t="n">
        <v>48</v>
      </c>
      <c r="B49" s="27" t="s">
        <v>128</v>
      </c>
      <c r="C49" s="8" t="n">
        <v>64.56</v>
      </c>
      <c r="D49" s="8" t="n">
        <v>67.7</v>
      </c>
      <c r="E49" s="29" t="n">
        <f aca="false">D49/C49-1</f>
        <v>0.0486369268897151</v>
      </c>
      <c r="F49" s="34" t="s">
        <v>162</v>
      </c>
      <c r="G49" s="4" t="n">
        <f aca="false">COUNTIF(Trades!$B$2:$B$94,A49)</f>
        <v>3</v>
      </c>
      <c r="H49" s="30" t="n">
        <f aca="false">SUMIF(Trades!$B$2:$B$94,A49,Trades!$I$2:$I$94)</f>
        <v>52</v>
      </c>
      <c r="I49" s="30" t="n">
        <f aca="false">SUMIF(Trades!$B$2:$B$94,A49,Trades!$N$2:$N$94)</f>
        <v>2</v>
      </c>
      <c r="J49" s="30" t="n">
        <f aca="false">H49-I49</f>
        <v>50</v>
      </c>
      <c r="K49" s="35" t="n">
        <v>0</v>
      </c>
      <c r="L49" s="35" t="n">
        <v>8.64</v>
      </c>
      <c r="M49" s="30" t="n">
        <f aca="false">N48</f>
        <v>11211.13</v>
      </c>
      <c r="N49" s="30" t="n">
        <f aca="false">M49+J49+K49+L49</f>
        <v>11269.77</v>
      </c>
      <c r="O49" s="30" t="n">
        <f aca="false">N49-M49</f>
        <v>58.6399999999994</v>
      </c>
      <c r="P49" s="32" t="n">
        <f aca="false">O49/M49</f>
        <v>0.00523051645998213</v>
      </c>
      <c r="Q49" s="4" t="str">
        <f aca="false">IF(P49&gt;=Summary!$C$7,"Yes","No")</f>
        <v>No</v>
      </c>
      <c r="R49" s="29" t="n">
        <f aca="false">N49/Summary!$C$5-1</f>
        <v>0.502636</v>
      </c>
      <c r="S49" s="30" t="n">
        <f aca="false">Summary!$C$5*(1+Summary!$C$7)^A49</f>
        <v>12091.6955826185</v>
      </c>
      <c r="T49" s="30" t="n">
        <f aca="false">N49-S49</f>
        <v>-821.925582618487</v>
      </c>
      <c r="U49" s="27" t="n">
        <v>0</v>
      </c>
      <c r="V49" s="30" t="n">
        <f aca="false">Summary!$C$5*D49/Summary!$C$8</f>
        <v>7958.46394984326</v>
      </c>
      <c r="W49" s="30" t="n">
        <f aca="false">Summary!$C$5*(1+Summary!$C$6*7*A49/365)</f>
        <v>7776.16438356164</v>
      </c>
    </row>
    <row r="50" customFormat="false" ht="23.85" hidden="false" customHeight="false" outlineLevel="0" collapsed="false">
      <c r="A50" s="27" t="n">
        <v>49</v>
      </c>
      <c r="B50" s="27" t="s">
        <v>128</v>
      </c>
      <c r="C50" s="8" t="n">
        <v>67.7</v>
      </c>
      <c r="D50" s="8" t="n">
        <v>68.02</v>
      </c>
      <c r="E50" s="29" t="n">
        <f aca="false">D50/C50-1</f>
        <v>0.00472673559822745</v>
      </c>
      <c r="F50" s="34" t="s">
        <v>163</v>
      </c>
      <c r="G50" s="4" t="n">
        <f aca="false">COUNTIF(Trades!$B$2:$B$94,A50)</f>
        <v>2</v>
      </c>
      <c r="H50" s="30" t="n">
        <f aca="false">SUMIF(Trades!$B$2:$B$94,A50,Trades!$I$2:$I$94)</f>
        <v>114</v>
      </c>
      <c r="I50" s="30" t="n">
        <f aca="false">SUMIF(Trades!$B$2:$B$94,A50,Trades!$N$2:$N$94)</f>
        <v>7</v>
      </c>
      <c r="J50" s="30" t="n">
        <f aca="false">H50-I50</f>
        <v>107</v>
      </c>
      <c r="K50" s="35" t="n">
        <v>0</v>
      </c>
      <c r="L50" s="35" t="n">
        <v>8.71</v>
      </c>
      <c r="M50" s="30" t="n">
        <f aca="false">N49</f>
        <v>11269.77</v>
      </c>
      <c r="N50" s="30" t="n">
        <f aca="false">M50+J50+K50+L50</f>
        <v>11385.48</v>
      </c>
      <c r="O50" s="30" t="n">
        <f aca="false">N50-M50</f>
        <v>115.709999999999</v>
      </c>
      <c r="P50" s="32" t="n">
        <f aca="false">O50/M50</f>
        <v>0.0102672902818779</v>
      </c>
      <c r="Q50" s="4" t="str">
        <f aca="false">IF(P50&gt;=Summary!$C$7,"Yes","No")</f>
        <v>Yes</v>
      </c>
      <c r="R50" s="29" t="n">
        <f aca="false">N50/Summary!$C$5-1</f>
        <v>0.518064</v>
      </c>
      <c r="S50" s="30" t="n">
        <f aca="false">Summary!$C$5*(1+Summary!$C$7)^A50</f>
        <v>12212.6125384447</v>
      </c>
      <c r="T50" s="30" t="n">
        <f aca="false">N50-S50</f>
        <v>-827.132538444672</v>
      </c>
      <c r="U50" s="27" t="n">
        <v>0</v>
      </c>
      <c r="V50" s="30" t="n">
        <f aca="false">Summary!$C$5*D50/Summary!$C$8</f>
        <v>7996.08150470219</v>
      </c>
      <c r="W50" s="30" t="n">
        <f aca="false">Summary!$C$5*(1+Summary!$C$6*7*A50/365)</f>
        <v>7781.91780821918</v>
      </c>
    </row>
    <row r="51" customFormat="false" ht="15" hidden="false" customHeight="false" outlineLevel="0" collapsed="false">
      <c r="A51" s="27" t="n">
        <v>50</v>
      </c>
      <c r="B51" s="27" t="s">
        <v>118</v>
      </c>
      <c r="C51" s="8" t="n">
        <v>68.02</v>
      </c>
      <c r="D51" s="8" t="n">
        <v>63.73</v>
      </c>
      <c r="E51" s="29" t="n">
        <f aca="false">D51/C51-1</f>
        <v>-0.063069685386651</v>
      </c>
      <c r="F51" s="34" t="s">
        <v>164</v>
      </c>
      <c r="G51" s="4" t="n">
        <f aca="false">COUNTIF(Trades!$B$2:$B$94,A51)</f>
        <v>1</v>
      </c>
      <c r="H51" s="30" t="n">
        <f aca="false">SUMIF(Trades!$B$2:$B$94,A51,Trades!$I$2:$I$94)</f>
        <v>103</v>
      </c>
      <c r="I51" s="30" t="n">
        <f aca="false">SUMIF(Trades!$B$2:$B$94,A51,Trades!$N$2:$N$94)</f>
        <v>0</v>
      </c>
      <c r="J51" s="30" t="n">
        <f aca="false">H51-I51</f>
        <v>103</v>
      </c>
      <c r="K51" s="35" t="n">
        <v>0</v>
      </c>
      <c r="L51" s="35" t="n">
        <v>8.78</v>
      </c>
      <c r="M51" s="30" t="n">
        <f aca="false">N50</f>
        <v>11385.48</v>
      </c>
      <c r="N51" s="30" t="n">
        <f aca="false">M51+J51+K51+L51</f>
        <v>11497.26</v>
      </c>
      <c r="O51" s="30" t="n">
        <f aca="false">N51-M51</f>
        <v>111.780000000001</v>
      </c>
      <c r="P51" s="32" t="n">
        <f aca="false">O51/M51</f>
        <v>0.0098177678938438</v>
      </c>
      <c r="Q51" s="4" t="str">
        <f aca="false">IF(P51&gt;=Summary!$C$7,"Yes","No")</f>
        <v>No</v>
      </c>
      <c r="R51" s="29" t="n">
        <f aca="false">N51/Summary!$C$5-1</f>
        <v>0.532968</v>
      </c>
      <c r="S51" s="30" t="n">
        <f aca="false">Summary!$C$5*(1+Summary!$C$7)^A51</f>
        <v>12334.7386638291</v>
      </c>
      <c r="T51" s="30" t="n">
        <f aca="false">N51-S51</f>
        <v>-837.478663829121</v>
      </c>
      <c r="U51" s="27" t="n">
        <v>0</v>
      </c>
      <c r="V51" s="30" t="n">
        <f aca="false">Summary!$C$5*D51/Summary!$C$8</f>
        <v>7491.77115987461</v>
      </c>
      <c r="W51" s="30" t="n">
        <f aca="false">Summary!$C$5*(1+Summary!$C$6*7*A51/365)</f>
        <v>7787.67123287671</v>
      </c>
    </row>
    <row r="52" customFormat="false" ht="35.05" hidden="false" customHeight="false" outlineLevel="0" collapsed="false">
      <c r="A52" s="27" t="n">
        <v>51</v>
      </c>
      <c r="B52" s="27" t="s">
        <v>110</v>
      </c>
      <c r="C52" s="8" t="n">
        <v>63.73</v>
      </c>
      <c r="D52" s="8" t="n">
        <v>72.85</v>
      </c>
      <c r="E52" s="29" t="n">
        <f aca="false">D52/C52-1</f>
        <v>0.143103718813745</v>
      </c>
      <c r="F52" s="34" t="s">
        <v>165</v>
      </c>
      <c r="G52" s="4" t="n">
        <f aca="false">COUNTIF(Trades!$B$2:$B$94,A52)</f>
        <v>3</v>
      </c>
      <c r="H52" s="30" t="n">
        <f aca="false">SUMIF(Trades!$B$2:$B$94,A52,Trades!$I$2:$I$94)</f>
        <v>214</v>
      </c>
      <c r="I52" s="30" t="n">
        <f aca="false">SUMIF(Trades!$B$2:$B$94,A52,Trades!$N$2:$N$94)</f>
        <v>8</v>
      </c>
      <c r="J52" s="30" t="n">
        <f aca="false">H52-I52</f>
        <v>206</v>
      </c>
      <c r="K52" s="35" t="n">
        <v>0</v>
      </c>
      <c r="L52" s="35" t="n">
        <v>8.96</v>
      </c>
      <c r="M52" s="30" t="n">
        <f aca="false">N51</f>
        <v>11497.26</v>
      </c>
      <c r="N52" s="30" t="n">
        <f aca="false">M52+J52+K52+L52</f>
        <v>11712.22</v>
      </c>
      <c r="O52" s="30" t="n">
        <f aca="false">N52-M52</f>
        <v>214.959999999999</v>
      </c>
      <c r="P52" s="32" t="n">
        <f aca="false">O52/M52</f>
        <v>0.0186966285880287</v>
      </c>
      <c r="Q52" s="4" t="str">
        <f aca="false">IF(P52&gt;=Summary!$C$7,"Yes","No")</f>
        <v>Yes</v>
      </c>
      <c r="R52" s="29" t="n">
        <f aca="false">N52/Summary!$C$5-1</f>
        <v>0.561629333333333</v>
      </c>
      <c r="S52" s="30" t="n">
        <f aca="false">Summary!$C$5*(1+Summary!$C$7)^A52</f>
        <v>12458.0860504674</v>
      </c>
      <c r="T52" s="30" t="n">
        <f aca="false">N52-S52</f>
        <v>-745.866050467412</v>
      </c>
      <c r="U52" s="27" t="n">
        <v>0</v>
      </c>
      <c r="V52" s="30" t="n">
        <f aca="false">Summary!$C$5*D52/Summary!$C$8</f>
        <v>8563.87147335423</v>
      </c>
      <c r="W52" s="30" t="n">
        <f aca="false">Summary!$C$5*(1+Summary!$C$6*7*A52/365)</f>
        <v>7793.42465753425</v>
      </c>
    </row>
    <row r="53" customFormat="false" ht="35.05" hidden="false" customHeight="false" outlineLevel="0" collapsed="false">
      <c r="A53" s="37" t="n">
        <v>52</v>
      </c>
      <c r="B53" s="37" t="s">
        <v>118</v>
      </c>
      <c r="C53" s="38" t="n">
        <v>72.85</v>
      </c>
      <c r="D53" s="38" t="n">
        <v>64.67</v>
      </c>
      <c r="E53" s="39" t="n">
        <f aca="false">D53/C53-1</f>
        <v>-0.112285518188058</v>
      </c>
      <c r="F53" s="40" t="s">
        <v>166</v>
      </c>
      <c r="G53" s="41" t="n">
        <f aca="false">COUNTIF(Trades!$B$2:$B$94,A53)</f>
        <v>3</v>
      </c>
      <c r="H53" s="42" t="n">
        <f aca="false">SUMIF(Trades!$B$2:$B$94,A53,Trades!$I$2:$I$94)</f>
        <v>210</v>
      </c>
      <c r="I53" s="42" t="n">
        <f aca="false">SUMIF(Trades!$B$2:$B$94,A53,Trades!$N$2:$N$94)</f>
        <v>7</v>
      </c>
      <c r="J53" s="42" t="n">
        <f aca="false">H53-I53</f>
        <v>203</v>
      </c>
      <c r="K53" s="43" t="n">
        <v>0</v>
      </c>
      <c r="L53" s="43" t="n">
        <v>9.14</v>
      </c>
      <c r="M53" s="42" t="n">
        <f aca="false">N52</f>
        <v>11712.22</v>
      </c>
      <c r="N53" s="42" t="n">
        <f aca="false">M53+J53+K53+L53</f>
        <v>11924.36</v>
      </c>
      <c r="O53" s="42" t="n">
        <f aca="false">N53-M53</f>
        <v>212.139999999999</v>
      </c>
      <c r="P53" s="44" t="n">
        <f aca="false">O53/M53</f>
        <v>0.0181127062162425</v>
      </c>
      <c r="Q53" s="41" t="str">
        <f aca="false">IF(P53&gt;=Summary!$C$7,"Yes","No")</f>
        <v>Yes</v>
      </c>
      <c r="R53" s="39" t="n">
        <f aca="false">N53/Summary!$C$5-1</f>
        <v>0.589914666666667</v>
      </c>
      <c r="S53" s="42" t="n">
        <f aca="false">Summary!$C$5*(1+Summary!$C$7)^A53</f>
        <v>12582.6669109721</v>
      </c>
      <c r="T53" s="42" t="n">
        <f aca="false">N53-S53</f>
        <v>-658.306910972086</v>
      </c>
      <c r="U53" s="37" t="n">
        <v>0</v>
      </c>
      <c r="V53" s="42" t="n">
        <f aca="false">Summary!$C$5*D53/Summary!$C$8</f>
        <v>7602.27272727273</v>
      </c>
      <c r="W53" s="42" t="n">
        <f aca="false">Summary!$C$5*(1+Summary!$C$6*7*A53/365)</f>
        <v>7799.17808219178</v>
      </c>
    </row>
    <row r="55" customFormat="false" ht="15" hidden="false" customHeight="false" outlineLevel="0" collapsed="false">
      <c r="A55" s="2" t="s">
        <v>167</v>
      </c>
    </row>
    <row r="56" customFormat="false" ht="15" hidden="false" customHeight="false" outlineLevel="0" collapsed="false">
      <c r="A56" s="2" t="s">
        <v>168</v>
      </c>
    </row>
    <row r="57" customFormat="false" ht="15" hidden="false" customHeight="false" outlineLevel="0" collapsed="false">
      <c r="A57" s="2" t="s">
        <v>169</v>
      </c>
    </row>
  </sheetData>
  <printOptions headings="false" gridLines="false" gridLinesSet="true" horizontalCentered="false" verticalCentered="false"/>
  <pageMargins left="0.75" right="0.75" top="1" bottom="1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LibreOffice/24.2.7.2$Linux_X86_64 LibreOffice_project/420$Build-2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2026-10-24T23:15:35Z</dcterms:created>
  <dc:creator>openpyxl</dc:creator>
  <dc:description/>
  <dc:language>en-US</dc:language>
  <cp:lastModifiedBy/>
  <dcterms:modified xsi:type="dcterms:W3CDTF">2026-10-24T18:15:36Z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